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veta/Downloads/НИР_ДАННЫЕ/ФИНАЛ_ДАТА/"/>
    </mc:Choice>
  </mc:AlternateContent>
  <xr:revisionPtr revIDLastSave="0" documentId="13_ncr:1_{5B0999A4-6A3F-5B48-8018-A3F97F20D415}" xr6:coauthVersionLast="47" xr6:coauthVersionMax="47" xr10:uidLastSave="{00000000-0000-0000-0000-000000000000}"/>
  <bookViews>
    <workbookView xWindow="2760" yWindow="2780" windowWidth="26640" windowHeight="15140" xr2:uid="{C65D59A9-C682-F54C-8CB1-441EF23BC0B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50" i="1" l="1"/>
  <c r="M50" i="1"/>
  <c r="N50" i="1"/>
  <c r="L50" i="1"/>
  <c r="K50" i="1"/>
  <c r="J50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Q50" i="1"/>
  <c r="O50" i="1"/>
  <c r="I50" i="1"/>
  <c r="H50" i="1"/>
  <c r="G50" i="1"/>
  <c r="F50" i="1"/>
  <c r="E50" i="1"/>
  <c r="D50" i="1"/>
  <c r="C50" i="1"/>
  <c r="B50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O3" i="1" l="1"/>
  <c r="H3" i="1"/>
  <c r="B3" i="1"/>
  <c r="J3" i="1"/>
  <c r="C3" i="1"/>
  <c r="M3" i="1"/>
  <c r="K3" i="1"/>
  <c r="I3" i="1"/>
  <c r="D3" i="1"/>
  <c r="E3" i="1"/>
  <c r="F3" i="1"/>
  <c r="G3" i="1"/>
  <c r="Q3" i="1"/>
  <c r="N3" i="1"/>
  <c r="P3" i="1"/>
  <c r="L3" i="1"/>
</calcChain>
</file>

<file path=xl/sharedStrings.xml><?xml version="1.0" encoding="utf-8"?>
<sst xmlns="http://schemas.openxmlformats.org/spreadsheetml/2006/main" count="102" uniqueCount="98">
  <si>
    <r>
      <t xml:space="preserve">Валовой региональный продукт по субъектам Российской Федерации в 1998-2015 гг.
</t>
    </r>
    <r>
      <rPr>
        <sz val="12"/>
        <rFont val="Times New Roman"/>
        <family val="1"/>
        <charset val="204"/>
      </rPr>
      <t>(в текущих  ценах; миллионов рублей)</t>
    </r>
  </si>
  <si>
    <r>
      <t>2016</t>
    </r>
    <r>
      <rPr>
        <b/>
        <vertAlign val="superscript"/>
        <sz val="12"/>
        <rFont val="Arial"/>
        <family val="2"/>
        <charset val="204"/>
      </rPr>
      <t>3)</t>
    </r>
  </si>
  <si>
    <r>
      <t>2022</t>
    </r>
    <r>
      <rPr>
        <b/>
        <vertAlign val="superscript"/>
        <sz val="12"/>
        <rFont val="Arial"/>
        <family val="2"/>
        <charset val="204"/>
      </rPr>
      <t>4)</t>
    </r>
  </si>
  <si>
    <r>
      <t>2023</t>
    </r>
    <r>
      <rPr>
        <b/>
        <vertAlign val="superscript"/>
        <sz val="12"/>
        <rFont val="Arial"/>
        <family val="2"/>
        <charset val="204"/>
      </rPr>
      <t>4)</t>
    </r>
  </si>
  <si>
    <r>
      <t>2024</t>
    </r>
    <r>
      <rPr>
        <b/>
        <vertAlign val="superscript"/>
        <sz val="12"/>
        <rFont val="Arial"/>
        <family val="2"/>
        <charset val="204"/>
      </rPr>
      <t>4)</t>
    </r>
  </si>
  <si>
    <t>Валовой региональный продукт по субъектам Российской Федерации (валовая добавленная стоимость в основных ценах)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</si>
  <si>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</si>
  <si>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</si>
  <si>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</si>
  <si>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</si>
  <si>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</si>
  <si>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</si>
  <si>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</si>
  <si>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</si>
  <si>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</si>
  <si>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</si>
  <si>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</si>
  <si>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</si>
  <si>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</si>
  <si>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</si>
  <si>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</si>
  <si>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</si>
  <si>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</si>
  <si>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</si>
  <si>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</si>
  <si>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</si>
  <si>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</si>
  <si>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</si>
  <si>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</si>
  <si>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  в т.ч. Ненецкий авт. округ</t>
  </si>
  <si>
    <t>…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</si>
  <si>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</si>
  <si>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</si>
  <si>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</si>
  <si>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</si>
  <si>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</si>
  <si>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</si>
  <si>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</si>
  <si>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</si>
  <si>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</si>
  <si>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</si>
  <si>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</si>
  <si>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</si>
  <si>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</si>
  <si>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</si>
  <si>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</si>
  <si>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</si>
  <si>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</si>
  <si>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</si>
  <si>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</si>
  <si>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</si>
  <si>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</si>
  <si>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</si>
  <si>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</si>
  <si>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</si>
  <si>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</si>
  <si>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</si>
  <si>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</si>
  <si>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</si>
  <si>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</si>
  <si>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</si>
  <si>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</si>
  <si>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</si>
  <si>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</si>
  <si>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</si>
  <si>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</si>
  <si>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</si>
  <si>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</si>
  <si>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</si>
  <si>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</si>
  <si>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</si>
  <si>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</si>
  <si>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 в т.ч. Ханты-Мансийский автономный округ-Югра</t>
  </si>
  <si>
    <t xml:space="preserve">           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</si>
  <si>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</si>
  <si>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</si>
  <si>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</si>
  <si>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</si>
  <si>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</si>
  <si>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</si>
  <si>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</si>
  <si>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</si>
  <si>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область-Кузбасс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</si>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</sst>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Arial"/>
      <family val="2"/>
      <charset val="204"/>
    </font>
    <font>
      <sz val="10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2" fillId="0" borderId="0" xfId="0" applyFont="1"/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/>
    <xf numFmtId="0" fontId="3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wrapText="1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2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</cellXfs>
  <cellStyles count="2">
    <cellStyle name="Обычный" xfId="0" builtinId="0"/>
    <cellStyle name="Обычный 2" xfId="1" xr:uid="{243C85FD-84E0-914E-BF25-2ECD53B1A2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174FEF-A2E7-F54F-9F5A-FD0CC44BF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95F0-78BF-C04F-B5F8-036D0232CB22}">
  <dimension ref="A1:Z95"/>
  <sheetViews>
    <sheetView tabSelected="1" workbookViewId="0">
      <selection activeCell="A71" sqref="A71:XFD71"/>
    </sheetView>
  </sheetViews>
  <sheetFormatPr baseColWidth="10" defaultRowHeight="16" x14ac:dyDescent="0.2"/>
  <cols>
    <col min="1" max="1" width="38.83203125" customWidth="1"/>
    <col min="2" max="4" width="12.1640625" bestFit="1" customWidth="1"/>
    <col min="5" max="9" width="13.33203125" bestFit="1" customWidth="1"/>
    <col min="10" max="14" width="12.1640625" bestFit="1" customWidth="1"/>
    <col min="15" max="15" width="13.33203125" bestFit="1" customWidth="1"/>
    <col min="16" max="16" width="12.1640625" bestFit="1" customWidth="1"/>
    <col min="17" max="18" width="13.33203125" bestFit="1" customWidth="1"/>
    <col min="19" max="22" width="11" bestFit="1" customWidth="1"/>
    <col min="23" max="26" width="14" bestFit="1" customWidth="1"/>
  </cols>
  <sheetData>
    <row r="1" spans="1:26" x14ac:dyDescent="0.2">
      <c r="A1" s="32" t="s">
        <v>0</v>
      </c>
      <c r="B1" s="32"/>
      <c r="C1" s="32"/>
      <c r="D1" s="1"/>
      <c r="E1" s="1"/>
      <c r="F1" s="1"/>
      <c r="G1" s="1"/>
      <c r="H1" s="1"/>
      <c r="I1" s="1"/>
      <c r="J1" s="1"/>
      <c r="K1" s="1"/>
      <c r="L1" s="1"/>
      <c r="M1" s="1"/>
      <c r="N1" s="33"/>
      <c r="O1" s="33"/>
      <c r="P1" s="33"/>
      <c r="Q1" s="33"/>
      <c r="R1" s="1"/>
      <c r="S1" s="1"/>
      <c r="T1" s="1"/>
      <c r="U1" s="1"/>
      <c r="V1" s="1"/>
      <c r="W1" s="1"/>
      <c r="X1" s="1"/>
      <c r="Y1" s="1"/>
      <c r="Z1" s="1"/>
    </row>
    <row r="2" spans="1:26" ht="18" x14ac:dyDescent="0.2">
      <c r="A2" s="2"/>
      <c r="B2" s="3">
        <v>2000</v>
      </c>
      <c r="C2" s="3">
        <v>2001</v>
      </c>
      <c r="D2" s="3">
        <v>2002</v>
      </c>
      <c r="E2" s="3">
        <v>2003</v>
      </c>
      <c r="F2" s="3">
        <v>2004</v>
      </c>
      <c r="G2" s="3">
        <v>2005</v>
      </c>
      <c r="H2" s="3">
        <v>2006</v>
      </c>
      <c r="I2" s="3">
        <v>2007</v>
      </c>
      <c r="J2" s="3">
        <v>2008</v>
      </c>
      <c r="K2" s="3">
        <v>2009</v>
      </c>
      <c r="L2" s="3">
        <v>2010</v>
      </c>
      <c r="M2" s="3">
        <v>2011</v>
      </c>
      <c r="N2" s="3">
        <v>2012</v>
      </c>
      <c r="O2" s="3">
        <v>2013</v>
      </c>
      <c r="P2" s="3">
        <v>2014</v>
      </c>
      <c r="Q2" s="3">
        <v>2015</v>
      </c>
      <c r="R2" s="4" t="s">
        <v>1</v>
      </c>
      <c r="S2" s="4">
        <v>2017</v>
      </c>
      <c r="T2" s="4">
        <v>2018</v>
      </c>
      <c r="U2" s="4">
        <v>2019</v>
      </c>
      <c r="V2" s="4">
        <v>2020</v>
      </c>
      <c r="W2" s="4">
        <v>2021</v>
      </c>
      <c r="X2" s="4" t="s">
        <v>2</v>
      </c>
      <c r="Y2" s="4" t="s">
        <v>3</v>
      </c>
      <c r="Z2" s="4" t="s">
        <v>4</v>
      </c>
    </row>
    <row r="3" spans="1:26" ht="272" x14ac:dyDescent="0.2">
      <c r="A3" s="2" t="s">
        <v>5</v>
      </c>
      <c r="B3" s="5">
        <f>B4+B23+B35+B42+B50+B65+B72+B83</f>
        <v>5753671.5999999987</v>
      </c>
      <c r="C3" s="5">
        <f>C4+C23+C35+C42+C50+C65+C72+C83</f>
        <v>7170968.1999999993</v>
      </c>
      <c r="D3" s="5">
        <f>D4+D23+D35+D42+D50+D65+D72+D83</f>
        <v>8741219.1999999993</v>
      </c>
      <c r="E3" s="5">
        <f>E4+E23+E35+E42+E50+E65+E72+E83</f>
        <v>10742423.300000001</v>
      </c>
      <c r="F3" s="5">
        <f>F4+F23+F35+F42+F50+F65+F72+F83</f>
        <v>13964305.399999999</v>
      </c>
      <c r="G3" s="5">
        <f>G4+G23+G35+G42+G50+G65+G72+G83</f>
        <v>18034385.199999999</v>
      </c>
      <c r="H3" s="5">
        <f>H4+H23+H35+H42+H50+H65+H72+H83</f>
        <v>22492119.600000001</v>
      </c>
      <c r="I3" s="5">
        <f>I4+I23+I35+I42+I50+I65+I72+I83</f>
        <v>27963955.600000001</v>
      </c>
      <c r="J3" s="5">
        <f>J4+J23+J35+J42+J50+J65+J72+J83</f>
        <v>33908756.699999996</v>
      </c>
      <c r="K3" s="5">
        <f>K4+K23+K35+K42+K50+K65+K72+K83</f>
        <v>32007228.099999998</v>
      </c>
      <c r="L3" s="5">
        <f>L4+L23+L35+L42+L50+L65+L72+L83</f>
        <v>37687768.200000003</v>
      </c>
      <c r="M3" s="5" t="e">
        <f>M4+M23+M35+M42+M50+M65+M72+M83</f>
        <v>#REF!</v>
      </c>
      <c r="N3" s="5" t="e">
        <f>N4+N23+N35+N42+N50+N65+N72+N83</f>
        <v>#REF!</v>
      </c>
      <c r="O3" s="5" t="e">
        <f>O4+O23+O35+O42+O50+O65+O72+O83</f>
        <v>#REF!</v>
      </c>
      <c r="P3" s="5" t="e">
        <f>P4+P23+P35+P42+P50+P65+P72+P83</f>
        <v>#REF!</v>
      </c>
      <c r="Q3" s="5" t="e">
        <f>Q4+Q23+Q35+Q42+Q50+Q65+Q72+Q83</f>
        <v>#REF!</v>
      </c>
      <c r="R3" s="5">
        <v>74362795.349999994</v>
      </c>
      <c r="S3" s="5">
        <v>82923516.149999976</v>
      </c>
      <c r="T3" s="5">
        <v>93660755.900000021</v>
      </c>
      <c r="U3" s="5">
        <v>98816841.100000009</v>
      </c>
      <c r="V3" s="5">
        <v>98691534.499999985</v>
      </c>
      <c r="W3" s="5">
        <v>127023349.60000001</v>
      </c>
      <c r="X3" s="5">
        <v>143869837.50000003</v>
      </c>
      <c r="Y3" s="5">
        <v>163019100.19999999</v>
      </c>
      <c r="Z3" s="5">
        <v>186545082.09999999</v>
      </c>
    </row>
    <row r="4" spans="1:26" x14ac:dyDescent="0.2">
      <c r="A4" s="6" t="s">
        <v>6</v>
      </c>
      <c r="B4" s="7">
        <f t="shared" ref="B4:Q4" si="0">SUM(B5:B22)</f>
        <v>1841498.9</v>
      </c>
      <c r="C4" s="7">
        <f t="shared" si="0"/>
        <v>2243525</v>
      </c>
      <c r="D4" s="7">
        <f t="shared" si="0"/>
        <v>2878664.5</v>
      </c>
      <c r="E4" s="7">
        <f t="shared" si="0"/>
        <v>3577142.5</v>
      </c>
      <c r="F4" s="7">
        <f t="shared" si="0"/>
        <v>4617086.0999999996</v>
      </c>
      <c r="G4" s="7">
        <f t="shared" si="0"/>
        <v>6278359.1999999993</v>
      </c>
      <c r="H4" s="7">
        <f t="shared" si="0"/>
        <v>7965169.5</v>
      </c>
      <c r="I4" s="7">
        <f t="shared" si="0"/>
        <v>10208917.699999999</v>
      </c>
      <c r="J4" s="7">
        <f t="shared" si="0"/>
        <v>12674395.399999999</v>
      </c>
      <c r="K4" s="7">
        <f t="shared" si="0"/>
        <v>11405184</v>
      </c>
      <c r="L4" s="7">
        <f t="shared" si="0"/>
        <v>13444440.100000001</v>
      </c>
      <c r="M4" s="7">
        <f t="shared" si="0"/>
        <v>16062123.800000001</v>
      </c>
      <c r="N4" s="7">
        <f t="shared" si="0"/>
        <v>17432294.600000001</v>
      </c>
      <c r="O4" s="7">
        <f t="shared" si="0"/>
        <v>19160905.699999999</v>
      </c>
      <c r="P4" s="7">
        <f t="shared" si="0"/>
        <v>20866362</v>
      </c>
      <c r="Q4" s="7">
        <f t="shared" si="0"/>
        <v>22663758.100000001</v>
      </c>
      <c r="R4" s="7">
        <v>26189814.77</v>
      </c>
      <c r="S4" s="7">
        <v>29708647.369999997</v>
      </c>
      <c r="T4" s="7">
        <v>33326380.200000003</v>
      </c>
      <c r="U4" s="7">
        <v>35536474.300000004</v>
      </c>
      <c r="V4" s="7">
        <v>37015346.299999997</v>
      </c>
      <c r="W4" s="7">
        <v>44910901.799999997</v>
      </c>
      <c r="X4" s="7">
        <v>49588865.700000003</v>
      </c>
      <c r="Y4" s="7">
        <v>58592616.399999991</v>
      </c>
      <c r="Z4" s="7">
        <v>66158466.300000004</v>
      </c>
    </row>
    <row r="5" spans="1:26" ht="34" x14ac:dyDescent="0.2">
      <c r="A5" s="8" t="s">
        <v>7</v>
      </c>
      <c r="B5" s="9">
        <v>42074.5</v>
      </c>
      <c r="C5" s="9">
        <v>49941.8</v>
      </c>
      <c r="D5" s="9">
        <v>62404.4</v>
      </c>
      <c r="E5" s="9">
        <v>76054.5</v>
      </c>
      <c r="F5" s="9">
        <v>114409.3</v>
      </c>
      <c r="G5" s="9">
        <v>144987.79999999999</v>
      </c>
      <c r="H5" s="9">
        <v>178846.1</v>
      </c>
      <c r="I5" s="9">
        <v>237013.3</v>
      </c>
      <c r="J5" s="9">
        <v>317656.3</v>
      </c>
      <c r="K5" s="9">
        <v>304345.3</v>
      </c>
      <c r="L5" s="9">
        <v>398361.4</v>
      </c>
      <c r="M5" s="9">
        <v>507839.8</v>
      </c>
      <c r="N5" s="9">
        <v>545517.19999999995</v>
      </c>
      <c r="O5" s="9">
        <v>569006.4</v>
      </c>
      <c r="P5" s="9">
        <v>619677.69999999995</v>
      </c>
      <c r="Q5" s="10">
        <v>693379.4</v>
      </c>
      <c r="R5" s="11">
        <v>778240.6</v>
      </c>
      <c r="S5" s="9">
        <v>848061</v>
      </c>
      <c r="T5" s="9">
        <v>923836.5</v>
      </c>
      <c r="U5" s="9">
        <v>967040.7</v>
      </c>
      <c r="V5" s="9">
        <v>1009210</v>
      </c>
      <c r="W5" s="9">
        <v>1372135.7</v>
      </c>
      <c r="X5" s="9">
        <v>1292637.3999999999</v>
      </c>
      <c r="Y5" s="9">
        <v>1355634</v>
      </c>
      <c r="Z5" s="10">
        <v>1514896.7</v>
      </c>
    </row>
    <row r="6" spans="1:26" ht="34" x14ac:dyDescent="0.2">
      <c r="A6" s="12" t="s">
        <v>8</v>
      </c>
      <c r="B6" s="13">
        <v>24650.5</v>
      </c>
      <c r="C6" s="13">
        <v>30110.3</v>
      </c>
      <c r="D6" s="13">
        <v>37374.1</v>
      </c>
      <c r="E6" s="13">
        <v>43700.3</v>
      </c>
      <c r="F6" s="13">
        <v>51003.4</v>
      </c>
      <c r="G6" s="13">
        <v>66692.3</v>
      </c>
      <c r="H6" s="13">
        <v>82100.399999999994</v>
      </c>
      <c r="I6" s="13">
        <v>102706.2</v>
      </c>
      <c r="J6" s="13">
        <v>125834.4</v>
      </c>
      <c r="K6" s="13">
        <v>126477.4</v>
      </c>
      <c r="L6" s="13">
        <v>147024</v>
      </c>
      <c r="M6" s="13">
        <v>174211.8</v>
      </c>
      <c r="N6" s="13">
        <v>207397.5</v>
      </c>
      <c r="O6" s="13">
        <v>219502.8</v>
      </c>
      <c r="P6" s="13">
        <v>242722.4</v>
      </c>
      <c r="Q6" s="14">
        <v>271782.5</v>
      </c>
      <c r="R6" s="15">
        <v>316763.7</v>
      </c>
      <c r="S6" s="13">
        <v>347948.5</v>
      </c>
      <c r="T6" s="13">
        <v>374567.6</v>
      </c>
      <c r="U6" s="13">
        <v>407129.7</v>
      </c>
      <c r="V6" s="13">
        <v>422196.7</v>
      </c>
      <c r="W6" s="13">
        <v>491326.2</v>
      </c>
      <c r="X6" s="13">
        <v>555000.1</v>
      </c>
      <c r="Y6" s="13">
        <v>645355.6</v>
      </c>
      <c r="Z6" s="14">
        <v>724167.6</v>
      </c>
    </row>
    <row r="7" spans="1:26" ht="34" x14ac:dyDescent="0.2">
      <c r="A7" s="12" t="s">
        <v>9</v>
      </c>
      <c r="B7" s="13">
        <v>33017.699999999997</v>
      </c>
      <c r="C7" s="13">
        <v>42075.4</v>
      </c>
      <c r="D7" s="13">
        <v>50359.9</v>
      </c>
      <c r="E7" s="13">
        <v>61818.6</v>
      </c>
      <c r="F7" s="13">
        <v>74207</v>
      </c>
      <c r="G7" s="13">
        <v>86926.8</v>
      </c>
      <c r="H7" s="13">
        <v>112841.7</v>
      </c>
      <c r="I7" s="13">
        <v>146663</v>
      </c>
      <c r="J7" s="13">
        <v>175395.7</v>
      </c>
      <c r="K7" s="13">
        <v>185824.6</v>
      </c>
      <c r="L7" s="13">
        <v>224759.2</v>
      </c>
      <c r="M7" s="13">
        <v>261222.6</v>
      </c>
      <c r="N7" s="13">
        <v>286018.59999999998</v>
      </c>
      <c r="O7" s="13">
        <v>306641.40000000002</v>
      </c>
      <c r="P7" s="13">
        <v>328064.2</v>
      </c>
      <c r="Q7" s="14">
        <v>368489.2</v>
      </c>
      <c r="R7" s="15">
        <v>431622</v>
      </c>
      <c r="S7" s="13">
        <v>458575.8</v>
      </c>
      <c r="T7" s="13">
        <v>489625.9</v>
      </c>
      <c r="U7" s="13">
        <v>544953.30000000005</v>
      </c>
      <c r="V7" s="13">
        <v>563076.6</v>
      </c>
      <c r="W7" s="13">
        <v>740352.3</v>
      </c>
      <c r="X7" s="13">
        <v>787441</v>
      </c>
      <c r="Y7" s="13">
        <v>893576.6</v>
      </c>
      <c r="Z7" s="14">
        <v>969477.9</v>
      </c>
    </row>
    <row r="8" spans="1:26" ht="34" x14ac:dyDescent="0.2">
      <c r="A8" s="12" t="s">
        <v>10</v>
      </c>
      <c r="B8" s="13">
        <v>49523.9</v>
      </c>
      <c r="C8" s="13">
        <v>60014.6</v>
      </c>
      <c r="D8" s="13">
        <v>83001.100000000006</v>
      </c>
      <c r="E8" s="13">
        <v>100143.3</v>
      </c>
      <c r="F8" s="13">
        <v>117197.6</v>
      </c>
      <c r="G8" s="13">
        <v>133586.6</v>
      </c>
      <c r="H8" s="13">
        <v>166176.5</v>
      </c>
      <c r="I8" s="13">
        <v>222811.9</v>
      </c>
      <c r="J8" s="13">
        <v>287072.09999999998</v>
      </c>
      <c r="K8" s="13">
        <v>301729.09999999998</v>
      </c>
      <c r="L8" s="13">
        <v>346568.2</v>
      </c>
      <c r="M8" s="13">
        <v>474973.9</v>
      </c>
      <c r="N8" s="13">
        <v>563965.4</v>
      </c>
      <c r="O8" s="13">
        <v>611720.4</v>
      </c>
      <c r="P8" s="13">
        <v>717667.2</v>
      </c>
      <c r="Q8" s="14">
        <v>805969.6</v>
      </c>
      <c r="R8" s="15">
        <v>828646.2</v>
      </c>
      <c r="S8" s="13">
        <v>904496.3</v>
      </c>
      <c r="T8" s="13">
        <v>986641.5</v>
      </c>
      <c r="U8" s="13">
        <v>1039984.9</v>
      </c>
      <c r="V8" s="13">
        <v>1105295.1000000001</v>
      </c>
      <c r="W8" s="13">
        <v>1320198.1000000001</v>
      </c>
      <c r="X8" s="13">
        <v>1401633.4</v>
      </c>
      <c r="Y8" s="13">
        <v>1544989.9</v>
      </c>
      <c r="Z8" s="14">
        <v>1717550.8</v>
      </c>
    </row>
    <row r="9" spans="1:26" ht="34" x14ac:dyDescent="0.2">
      <c r="A9" s="12" t="s">
        <v>11</v>
      </c>
      <c r="B9" s="13">
        <v>16900</v>
      </c>
      <c r="C9" s="13">
        <v>22175.9</v>
      </c>
      <c r="D9" s="13">
        <v>26981.3</v>
      </c>
      <c r="E9" s="13">
        <v>33214.6</v>
      </c>
      <c r="F9" s="13">
        <v>40159.4</v>
      </c>
      <c r="G9" s="13">
        <v>44415.4</v>
      </c>
      <c r="H9" s="13">
        <v>55090</v>
      </c>
      <c r="I9" s="13">
        <v>74752</v>
      </c>
      <c r="J9" s="13">
        <v>86980.3</v>
      </c>
      <c r="K9" s="13">
        <v>87061.9</v>
      </c>
      <c r="L9" s="13">
        <v>109884.5</v>
      </c>
      <c r="M9" s="13">
        <v>128905.4</v>
      </c>
      <c r="N9" s="13">
        <v>136115</v>
      </c>
      <c r="O9" s="13">
        <v>158228.70000000001</v>
      </c>
      <c r="P9" s="13">
        <v>151876.79999999999</v>
      </c>
      <c r="Q9" s="14">
        <v>180517.5</v>
      </c>
      <c r="R9" s="15">
        <v>205854</v>
      </c>
      <c r="S9" s="13">
        <v>218259.6</v>
      </c>
      <c r="T9" s="13">
        <v>238912.3</v>
      </c>
      <c r="U9" s="13">
        <v>261566.9</v>
      </c>
      <c r="V9" s="13">
        <v>276347.09999999998</v>
      </c>
      <c r="W9" s="13">
        <v>315008.8</v>
      </c>
      <c r="X9" s="13">
        <v>367995.9</v>
      </c>
      <c r="Y9" s="13">
        <v>440393.4</v>
      </c>
      <c r="Z9" s="14">
        <v>502794.8</v>
      </c>
    </row>
    <row r="10" spans="1:26" ht="34" x14ac:dyDescent="0.2">
      <c r="A10" s="12" t="s">
        <v>12</v>
      </c>
      <c r="B10" s="13">
        <v>23903.3</v>
      </c>
      <c r="C10" s="13">
        <v>31860</v>
      </c>
      <c r="D10" s="13">
        <v>37283.1</v>
      </c>
      <c r="E10" s="13">
        <v>48792.7</v>
      </c>
      <c r="F10" s="13">
        <v>57993.8</v>
      </c>
      <c r="G10" s="13">
        <v>70953.899999999994</v>
      </c>
      <c r="H10" s="13">
        <v>86150.5</v>
      </c>
      <c r="I10" s="13">
        <v>111869</v>
      </c>
      <c r="J10" s="13">
        <v>150394.4</v>
      </c>
      <c r="K10" s="13">
        <v>154946.1</v>
      </c>
      <c r="L10" s="13">
        <v>188601.3</v>
      </c>
      <c r="M10" s="13">
        <v>234749</v>
      </c>
      <c r="N10" s="13">
        <v>285256.59999999998</v>
      </c>
      <c r="O10" s="13">
        <v>292841</v>
      </c>
      <c r="P10" s="13">
        <v>326459.5</v>
      </c>
      <c r="Q10" s="14">
        <v>339760.8</v>
      </c>
      <c r="R10" s="15">
        <v>409518</v>
      </c>
      <c r="S10" s="13">
        <v>468088.5</v>
      </c>
      <c r="T10" s="13">
        <v>520343.1</v>
      </c>
      <c r="U10" s="13">
        <v>561601.69999999995</v>
      </c>
      <c r="V10" s="13">
        <v>573690.80000000005</v>
      </c>
      <c r="W10" s="13">
        <v>682645</v>
      </c>
      <c r="X10" s="13">
        <v>697116.8</v>
      </c>
      <c r="Y10" s="13">
        <v>807967.4</v>
      </c>
      <c r="Z10" s="14">
        <v>913018.9</v>
      </c>
    </row>
    <row r="11" spans="1:26" ht="34" x14ac:dyDescent="0.2">
      <c r="A11" s="12" t="s">
        <v>13</v>
      </c>
      <c r="B11" s="13">
        <v>16662.2</v>
      </c>
      <c r="C11" s="13">
        <v>22221.5</v>
      </c>
      <c r="D11" s="13">
        <v>25952.9</v>
      </c>
      <c r="E11" s="13">
        <v>29692.1</v>
      </c>
      <c r="F11" s="13">
        <v>37787.4</v>
      </c>
      <c r="G11" s="13">
        <v>44684.7</v>
      </c>
      <c r="H11" s="13">
        <v>54351.1</v>
      </c>
      <c r="I11" s="13">
        <v>65700.399999999994</v>
      </c>
      <c r="J11" s="13">
        <v>81040.7</v>
      </c>
      <c r="K11" s="13">
        <v>78920.7</v>
      </c>
      <c r="L11" s="13">
        <v>98130.7</v>
      </c>
      <c r="M11" s="13">
        <v>116629.8</v>
      </c>
      <c r="N11" s="13">
        <v>130840.4</v>
      </c>
      <c r="O11" s="13">
        <v>139015.9</v>
      </c>
      <c r="P11" s="13">
        <v>146731.5</v>
      </c>
      <c r="Q11" s="14">
        <v>160579.79999999999</v>
      </c>
      <c r="R11" s="15">
        <v>170235.8</v>
      </c>
      <c r="S11" s="13">
        <v>188229.9</v>
      </c>
      <c r="T11" s="13">
        <v>217673.5</v>
      </c>
      <c r="U11" s="13">
        <v>223734.7</v>
      </c>
      <c r="V11" s="13">
        <v>218003.9</v>
      </c>
      <c r="W11" s="13">
        <v>262943.8</v>
      </c>
      <c r="X11" s="13">
        <v>291127.2</v>
      </c>
      <c r="Y11" s="13">
        <v>337337.3</v>
      </c>
      <c r="Z11" s="14">
        <v>400799.3</v>
      </c>
    </row>
    <row r="12" spans="1:26" ht="34" x14ac:dyDescent="0.2">
      <c r="A12" s="12" t="s">
        <v>14</v>
      </c>
      <c r="B12" s="13">
        <v>30167.7</v>
      </c>
      <c r="C12" s="13">
        <v>36399.800000000003</v>
      </c>
      <c r="D12" s="13">
        <v>45309.4</v>
      </c>
      <c r="E12" s="13">
        <v>56383.1</v>
      </c>
      <c r="F12" s="13">
        <v>76506.100000000006</v>
      </c>
      <c r="G12" s="13">
        <v>86624.9</v>
      </c>
      <c r="H12" s="13">
        <v>104035.7</v>
      </c>
      <c r="I12" s="13">
        <v>128799</v>
      </c>
      <c r="J12" s="13">
        <v>167865.8</v>
      </c>
      <c r="K12" s="13">
        <v>161570.9</v>
      </c>
      <c r="L12" s="13">
        <v>193648.6</v>
      </c>
      <c r="M12" s="13">
        <v>228851.4</v>
      </c>
      <c r="N12" s="13">
        <v>248213.1</v>
      </c>
      <c r="O12" s="13">
        <v>271542.5</v>
      </c>
      <c r="P12" s="13">
        <v>298287.3</v>
      </c>
      <c r="Q12" s="14">
        <v>336999.4</v>
      </c>
      <c r="R12" s="15">
        <v>379027</v>
      </c>
      <c r="S12" s="13">
        <v>411958.8</v>
      </c>
      <c r="T12" s="13">
        <v>458905.7</v>
      </c>
      <c r="U12" s="13">
        <v>503731.20000000001</v>
      </c>
      <c r="V12" s="13">
        <v>531058.80000000005</v>
      </c>
      <c r="W12" s="13">
        <v>697249.2</v>
      </c>
      <c r="X12" s="13">
        <v>670652.5</v>
      </c>
      <c r="Y12" s="13">
        <v>755520.8</v>
      </c>
      <c r="Z12" s="14">
        <v>832040.8</v>
      </c>
    </row>
    <row r="13" spans="1:26" ht="34" x14ac:dyDescent="0.2">
      <c r="A13" s="12" t="s">
        <v>15</v>
      </c>
      <c r="B13" s="13">
        <v>48067.7</v>
      </c>
      <c r="C13" s="13">
        <v>50574.1</v>
      </c>
      <c r="D13" s="13">
        <v>70590.5</v>
      </c>
      <c r="E13" s="13">
        <v>96241.9</v>
      </c>
      <c r="F13" s="13">
        <v>141778.29999999999</v>
      </c>
      <c r="G13" s="13">
        <v>145194.4</v>
      </c>
      <c r="H13" s="13">
        <v>179057.3</v>
      </c>
      <c r="I13" s="13">
        <v>209821.5</v>
      </c>
      <c r="J13" s="13">
        <v>259532.2</v>
      </c>
      <c r="K13" s="13">
        <v>226662</v>
      </c>
      <c r="L13" s="13">
        <v>248544.9</v>
      </c>
      <c r="M13" s="13">
        <v>287816.8</v>
      </c>
      <c r="N13" s="13">
        <v>293301.3</v>
      </c>
      <c r="O13" s="13">
        <v>315685.40000000002</v>
      </c>
      <c r="P13" s="13">
        <v>398464.5</v>
      </c>
      <c r="Q13" s="14">
        <v>448994.3</v>
      </c>
      <c r="R13" s="15">
        <v>502713.4</v>
      </c>
      <c r="S13" s="13">
        <v>531408.6</v>
      </c>
      <c r="T13" s="13">
        <v>612826.69999999995</v>
      </c>
      <c r="U13" s="13">
        <v>578961.4</v>
      </c>
      <c r="V13" s="13">
        <v>627219.69999999995</v>
      </c>
      <c r="W13" s="13">
        <v>862129.6</v>
      </c>
      <c r="X13" s="13">
        <v>786957.2</v>
      </c>
      <c r="Y13" s="13">
        <v>954366.1</v>
      </c>
      <c r="Z13" s="14">
        <v>1044659</v>
      </c>
    </row>
    <row r="14" spans="1:26" ht="34" x14ac:dyDescent="0.2">
      <c r="A14" s="12" t="s">
        <v>16</v>
      </c>
      <c r="B14" s="13">
        <v>176693.6</v>
      </c>
      <c r="C14" s="13">
        <v>235159.6</v>
      </c>
      <c r="D14" s="13">
        <v>312950</v>
      </c>
      <c r="E14" s="13">
        <v>412089.3</v>
      </c>
      <c r="F14" s="13">
        <v>535204.4</v>
      </c>
      <c r="G14" s="13">
        <v>708062.1</v>
      </c>
      <c r="H14" s="13">
        <v>934328.9</v>
      </c>
      <c r="I14" s="13">
        <v>1295649.8999999999</v>
      </c>
      <c r="J14" s="13">
        <v>1645753</v>
      </c>
      <c r="K14" s="13">
        <v>1519446.3</v>
      </c>
      <c r="L14" s="13">
        <v>1832867.3</v>
      </c>
      <c r="M14" s="13">
        <v>2176795.2999999998</v>
      </c>
      <c r="N14" s="13">
        <v>2357081.9</v>
      </c>
      <c r="O14" s="13">
        <v>2545951.5</v>
      </c>
      <c r="P14" s="13">
        <v>2742886.1</v>
      </c>
      <c r="Q14" s="14">
        <v>3180924.6</v>
      </c>
      <c r="R14" s="15">
        <v>4207699.74</v>
      </c>
      <c r="S14" s="13">
        <v>4344930.1399999997</v>
      </c>
      <c r="T14" s="13">
        <v>4713515.7</v>
      </c>
      <c r="U14" s="13">
        <v>5266884.4000000004</v>
      </c>
      <c r="V14" s="13">
        <v>5485137.7999999998</v>
      </c>
      <c r="W14" s="13">
        <v>6891769.2999999998</v>
      </c>
      <c r="X14" s="13">
        <v>7843348.5999999996</v>
      </c>
      <c r="Y14" s="13">
        <v>9330358.6999999993</v>
      </c>
      <c r="Z14" s="14">
        <v>10883332</v>
      </c>
    </row>
    <row r="15" spans="1:26" ht="34" x14ac:dyDescent="0.2">
      <c r="A15" s="12" t="s">
        <v>17</v>
      </c>
      <c r="B15" s="13">
        <v>22160.799999999999</v>
      </c>
      <c r="C15" s="13">
        <v>27624.799999999999</v>
      </c>
      <c r="D15" s="13">
        <v>35657.4</v>
      </c>
      <c r="E15" s="13">
        <v>42073.3</v>
      </c>
      <c r="F15" s="13">
        <v>46042.3</v>
      </c>
      <c r="G15" s="13">
        <v>53181.9</v>
      </c>
      <c r="H15" s="13">
        <v>64801.599999999999</v>
      </c>
      <c r="I15" s="13">
        <v>77101.2</v>
      </c>
      <c r="J15" s="13">
        <v>96669.9</v>
      </c>
      <c r="K15" s="13">
        <v>90623.6</v>
      </c>
      <c r="L15" s="13">
        <v>106196.7</v>
      </c>
      <c r="M15" s="13">
        <v>131198.20000000001</v>
      </c>
      <c r="N15" s="13">
        <v>146103.20000000001</v>
      </c>
      <c r="O15" s="13">
        <v>164797</v>
      </c>
      <c r="P15" s="13">
        <v>178822.5</v>
      </c>
      <c r="Q15" s="14">
        <v>208237.9</v>
      </c>
      <c r="R15" s="15">
        <v>228705.5</v>
      </c>
      <c r="S15" s="13">
        <v>235776.1</v>
      </c>
      <c r="T15" s="13">
        <v>252393.8</v>
      </c>
      <c r="U15" s="13">
        <v>272439</v>
      </c>
      <c r="V15" s="13">
        <v>289275.59999999998</v>
      </c>
      <c r="W15" s="13">
        <v>345113.2</v>
      </c>
      <c r="X15" s="13">
        <v>371621.8</v>
      </c>
      <c r="Y15" s="13">
        <v>401194.9</v>
      </c>
      <c r="Z15" s="14">
        <v>441058.6</v>
      </c>
    </row>
    <row r="16" spans="1:26" ht="34" x14ac:dyDescent="0.2">
      <c r="A16" s="12" t="s">
        <v>18</v>
      </c>
      <c r="B16" s="13">
        <v>27956.5</v>
      </c>
      <c r="C16" s="13">
        <v>37054.300000000003</v>
      </c>
      <c r="D16" s="13">
        <v>45797.5</v>
      </c>
      <c r="E16" s="13">
        <v>59607.199999999997</v>
      </c>
      <c r="F16" s="13">
        <v>69996</v>
      </c>
      <c r="G16" s="13">
        <v>84382.7</v>
      </c>
      <c r="H16" s="13">
        <v>105491.9</v>
      </c>
      <c r="I16" s="13">
        <v>121305.2</v>
      </c>
      <c r="J16" s="13">
        <v>150151.20000000001</v>
      </c>
      <c r="K16" s="13">
        <v>153634.1</v>
      </c>
      <c r="L16" s="13">
        <v>179127.9</v>
      </c>
      <c r="M16" s="13">
        <v>214142.6</v>
      </c>
      <c r="N16" s="13">
        <v>253881.60000000001</v>
      </c>
      <c r="O16" s="13">
        <v>279286.5</v>
      </c>
      <c r="P16" s="13">
        <v>295611.7</v>
      </c>
      <c r="Q16" s="14">
        <v>323131.8</v>
      </c>
      <c r="R16" s="15">
        <v>366328.6</v>
      </c>
      <c r="S16" s="13">
        <v>406415.6</v>
      </c>
      <c r="T16" s="13">
        <v>428115.5</v>
      </c>
      <c r="U16" s="13">
        <v>448909</v>
      </c>
      <c r="V16" s="13">
        <v>475256.2</v>
      </c>
      <c r="W16" s="13">
        <v>558809.19999999995</v>
      </c>
      <c r="X16" s="13">
        <v>627747.80000000005</v>
      </c>
      <c r="Y16" s="13">
        <v>710246</v>
      </c>
      <c r="Z16" s="14">
        <v>816737.3</v>
      </c>
    </row>
    <row r="17" spans="1:26" ht="34" x14ac:dyDescent="0.2">
      <c r="A17" s="12" t="s">
        <v>19</v>
      </c>
      <c r="B17" s="13">
        <v>28140.6</v>
      </c>
      <c r="C17" s="13">
        <v>36016.300000000003</v>
      </c>
      <c r="D17" s="13">
        <v>42166.1</v>
      </c>
      <c r="E17" s="13">
        <v>49085.7</v>
      </c>
      <c r="F17" s="13">
        <v>56113.9</v>
      </c>
      <c r="G17" s="13">
        <v>65525.599999999999</v>
      </c>
      <c r="H17" s="13">
        <v>79043.399999999994</v>
      </c>
      <c r="I17" s="13">
        <v>95703.4</v>
      </c>
      <c r="J17" s="13">
        <v>121601.3</v>
      </c>
      <c r="K17" s="13">
        <v>125348.9</v>
      </c>
      <c r="L17" s="13">
        <v>154681.1</v>
      </c>
      <c r="M17" s="13">
        <v>180811.5</v>
      </c>
      <c r="N17" s="13">
        <v>201817</v>
      </c>
      <c r="O17" s="13">
        <v>225887.1</v>
      </c>
      <c r="P17" s="13">
        <v>234710.1</v>
      </c>
      <c r="Q17" s="14">
        <v>256706.8</v>
      </c>
      <c r="R17" s="15">
        <v>283770</v>
      </c>
      <c r="S17" s="13">
        <v>319311.09999999998</v>
      </c>
      <c r="T17" s="13">
        <v>341418.4</v>
      </c>
      <c r="U17" s="13">
        <v>355948</v>
      </c>
      <c r="V17" s="13">
        <v>372007.1</v>
      </c>
      <c r="W17" s="13">
        <v>436094.3</v>
      </c>
      <c r="X17" s="13">
        <v>489287.9</v>
      </c>
      <c r="Y17" s="13">
        <v>565529.69999999995</v>
      </c>
      <c r="Z17" s="14">
        <v>655272.5</v>
      </c>
    </row>
    <row r="18" spans="1:26" ht="34" x14ac:dyDescent="0.2">
      <c r="A18" s="12" t="s">
        <v>20</v>
      </c>
      <c r="B18" s="13">
        <v>23387.3</v>
      </c>
      <c r="C18" s="13">
        <v>31086.6</v>
      </c>
      <c r="D18" s="13">
        <v>38897.800000000003</v>
      </c>
      <c r="E18" s="13">
        <v>46877.7</v>
      </c>
      <c r="F18" s="13">
        <v>56775</v>
      </c>
      <c r="G18" s="13">
        <v>63614.8</v>
      </c>
      <c r="H18" s="13">
        <v>79766.2</v>
      </c>
      <c r="I18" s="13">
        <v>106039.6</v>
      </c>
      <c r="J18" s="13">
        <v>120836</v>
      </c>
      <c r="K18" s="13">
        <v>136323.9</v>
      </c>
      <c r="L18" s="13">
        <v>143902.39999999999</v>
      </c>
      <c r="M18" s="13">
        <v>173283.1</v>
      </c>
      <c r="N18" s="13">
        <v>203331.5</v>
      </c>
      <c r="O18" s="13">
        <v>236335.9</v>
      </c>
      <c r="P18" s="13">
        <v>285656.5</v>
      </c>
      <c r="Q18" s="14">
        <v>317213.7</v>
      </c>
      <c r="R18" s="15">
        <v>320678.90000000002</v>
      </c>
      <c r="S18" s="13">
        <v>325944.40000000002</v>
      </c>
      <c r="T18" s="13">
        <v>358187.6</v>
      </c>
      <c r="U18" s="13">
        <v>359585.7</v>
      </c>
      <c r="V18" s="13">
        <v>382380.4</v>
      </c>
      <c r="W18" s="13">
        <v>449276.4</v>
      </c>
      <c r="X18" s="13">
        <v>457080.9</v>
      </c>
      <c r="Y18" s="13">
        <v>528554.4</v>
      </c>
      <c r="Z18" s="14">
        <v>580374.5</v>
      </c>
    </row>
    <row r="19" spans="1:26" ht="34" x14ac:dyDescent="0.2">
      <c r="A19" s="12" t="s">
        <v>21</v>
      </c>
      <c r="B19" s="13">
        <v>35341.1</v>
      </c>
      <c r="C19" s="13">
        <v>46986.400000000001</v>
      </c>
      <c r="D19" s="13">
        <v>55732.6</v>
      </c>
      <c r="E19" s="13">
        <v>68805.3</v>
      </c>
      <c r="F19" s="13">
        <v>88081.5</v>
      </c>
      <c r="G19" s="13">
        <v>96897.4</v>
      </c>
      <c r="H19" s="13">
        <v>127363.8</v>
      </c>
      <c r="I19" s="13">
        <v>156034.6</v>
      </c>
      <c r="J19" s="13">
        <v>192283</v>
      </c>
      <c r="K19" s="13">
        <v>197687</v>
      </c>
      <c r="L19" s="13">
        <v>219004.9</v>
      </c>
      <c r="M19" s="13">
        <v>255073</v>
      </c>
      <c r="N19" s="13">
        <v>268063.90000000002</v>
      </c>
      <c r="O19" s="13">
        <v>298669.2</v>
      </c>
      <c r="P19" s="13">
        <v>316613.2</v>
      </c>
      <c r="Q19" s="14">
        <v>329616</v>
      </c>
      <c r="R19" s="15">
        <v>397457.6</v>
      </c>
      <c r="S19" s="13">
        <v>428710.6</v>
      </c>
      <c r="T19" s="13">
        <v>479788</v>
      </c>
      <c r="U19" s="13">
        <v>498258.3</v>
      </c>
      <c r="V19" s="13">
        <v>497673.6</v>
      </c>
      <c r="W19" s="13">
        <v>575512.6</v>
      </c>
      <c r="X19" s="13">
        <v>629446.9</v>
      </c>
      <c r="Y19" s="13">
        <v>752374</v>
      </c>
      <c r="Z19" s="14">
        <v>825643.5</v>
      </c>
    </row>
    <row r="20" spans="1:26" ht="34" x14ac:dyDescent="0.2">
      <c r="A20" s="12" t="s">
        <v>22</v>
      </c>
      <c r="B20" s="13">
        <v>42061.3</v>
      </c>
      <c r="C20" s="13">
        <v>52891.199999999997</v>
      </c>
      <c r="D20" s="13">
        <v>65416.3</v>
      </c>
      <c r="E20" s="13">
        <v>72258</v>
      </c>
      <c r="F20" s="13">
        <v>88119.6</v>
      </c>
      <c r="G20" s="13">
        <v>116221.2</v>
      </c>
      <c r="H20" s="13">
        <v>142240.1</v>
      </c>
      <c r="I20" s="13">
        <v>174110.9</v>
      </c>
      <c r="J20" s="13">
        <v>231730.8</v>
      </c>
      <c r="K20" s="13">
        <v>214925.4</v>
      </c>
      <c r="L20" s="13">
        <v>237629.2</v>
      </c>
      <c r="M20" s="13">
        <v>279879.3</v>
      </c>
      <c r="N20" s="13">
        <v>311240.3</v>
      </c>
      <c r="O20" s="13">
        <v>348034.8</v>
      </c>
      <c r="P20" s="13">
        <v>411122.3</v>
      </c>
      <c r="Q20" s="14">
        <v>477537.8</v>
      </c>
      <c r="R20" s="15">
        <v>553436.30000000005</v>
      </c>
      <c r="S20" s="13">
        <v>611224.9</v>
      </c>
      <c r="T20" s="13">
        <v>684704.8</v>
      </c>
      <c r="U20" s="13">
        <v>695646.2</v>
      </c>
      <c r="V20" s="13">
        <v>733546.4</v>
      </c>
      <c r="W20" s="13">
        <v>907094.1</v>
      </c>
      <c r="X20" s="13">
        <v>1019597.7</v>
      </c>
      <c r="Y20" s="13">
        <v>1165767.3</v>
      </c>
      <c r="Z20" s="14">
        <v>1304895.8</v>
      </c>
    </row>
    <row r="21" spans="1:26" ht="34" x14ac:dyDescent="0.2">
      <c r="A21" s="12" t="s">
        <v>23</v>
      </c>
      <c r="B21" s="13">
        <v>41756.199999999997</v>
      </c>
      <c r="C21" s="13">
        <v>61149.599999999999</v>
      </c>
      <c r="D21" s="13">
        <v>75313.399999999994</v>
      </c>
      <c r="E21" s="13">
        <v>92073.4</v>
      </c>
      <c r="F21" s="13">
        <v>112438.7</v>
      </c>
      <c r="G21" s="13">
        <v>131252.1</v>
      </c>
      <c r="H21" s="13">
        <v>153251.5</v>
      </c>
      <c r="I21" s="13">
        <v>186577.5</v>
      </c>
      <c r="J21" s="13">
        <v>214946.3</v>
      </c>
      <c r="K21" s="13">
        <v>212684.4</v>
      </c>
      <c r="L21" s="13">
        <v>239644</v>
      </c>
      <c r="M21" s="13">
        <v>286967.5</v>
      </c>
      <c r="N21" s="13">
        <v>327279.59999999998</v>
      </c>
      <c r="O21" s="13">
        <v>362861.8</v>
      </c>
      <c r="P21" s="13">
        <v>391462.8</v>
      </c>
      <c r="Q21" s="14">
        <v>443054.1</v>
      </c>
      <c r="R21" s="15">
        <v>499618.4</v>
      </c>
      <c r="S21" s="13">
        <v>553181.1</v>
      </c>
      <c r="T21" s="13">
        <v>602166</v>
      </c>
      <c r="U21" s="13">
        <v>628213.9</v>
      </c>
      <c r="V21" s="13">
        <v>631990.1</v>
      </c>
      <c r="W21" s="13">
        <v>715898.2</v>
      </c>
      <c r="X21" s="13">
        <v>757616.4</v>
      </c>
      <c r="Y21" s="13">
        <v>880250.2</v>
      </c>
      <c r="Z21" s="14">
        <v>1028110.7</v>
      </c>
    </row>
    <row r="22" spans="1:26" ht="17" x14ac:dyDescent="0.2">
      <c r="A22" s="12" t="s">
        <v>24</v>
      </c>
      <c r="B22" s="16">
        <v>1159034</v>
      </c>
      <c r="C22" s="16">
        <v>1370182.8</v>
      </c>
      <c r="D22" s="16">
        <v>1767476.7</v>
      </c>
      <c r="E22" s="16">
        <v>2188231.5</v>
      </c>
      <c r="F22" s="16">
        <v>2853272.4</v>
      </c>
      <c r="G22" s="16">
        <v>4135154.6</v>
      </c>
      <c r="H22" s="16">
        <v>5260232.8</v>
      </c>
      <c r="I22" s="16">
        <v>6696259.0999999996</v>
      </c>
      <c r="J22" s="16">
        <v>8248652</v>
      </c>
      <c r="K22" s="16">
        <v>7126972.4000000004</v>
      </c>
      <c r="L22" s="16">
        <v>8375863.7999999998</v>
      </c>
      <c r="M22" s="16">
        <v>9948772.8000000007</v>
      </c>
      <c r="N22" s="16">
        <v>10666870.5</v>
      </c>
      <c r="O22" s="16">
        <v>11814897.4</v>
      </c>
      <c r="P22" s="16">
        <v>12779525.699999999</v>
      </c>
      <c r="Q22" s="17">
        <v>13520862.9</v>
      </c>
      <c r="R22" s="18">
        <v>15309499.029999999</v>
      </c>
      <c r="S22" s="16">
        <v>18106126.43</v>
      </c>
      <c r="T22" s="16">
        <v>20642757.600000001</v>
      </c>
      <c r="U22" s="13">
        <v>21921885.300000001</v>
      </c>
      <c r="V22" s="16">
        <v>22821980.399999999</v>
      </c>
      <c r="W22" s="16">
        <v>27287345.800000001</v>
      </c>
      <c r="X22" s="16">
        <v>30542556.199999999</v>
      </c>
      <c r="Y22" s="16">
        <v>36523200.100000001</v>
      </c>
      <c r="Z22" s="17">
        <v>41003635.600000001</v>
      </c>
    </row>
    <row r="23" spans="1:26" ht="68" x14ac:dyDescent="0.2">
      <c r="A23" s="2" t="s">
        <v>25</v>
      </c>
      <c r="B23" s="7">
        <f>SUM(B24:B34)-B27</f>
        <v>578504.69999999995</v>
      </c>
      <c r="C23" s="7">
        <f>SUM(C24:C34)-C27</f>
        <v>709025.1</v>
      </c>
      <c r="D23" s="7">
        <f>SUM(D24:D34)-D27</f>
        <v>886843.2</v>
      </c>
      <c r="E23" s="7">
        <f>SUM(E24:E34)-E27</f>
        <v>1091026.5</v>
      </c>
      <c r="F23" s="7">
        <f>SUM(F24:F34)-F27</f>
        <v>1474882.0000000002</v>
      </c>
      <c r="G23" s="7">
        <f>SUM(G24:G34)-G27</f>
        <v>1799780.2</v>
      </c>
      <c r="H23" s="7">
        <f>SUM(H24:H34)-H27</f>
        <v>2198608</v>
      </c>
      <c r="I23" s="7">
        <f>SUM(I24:I34)-I27</f>
        <v>2770190.2</v>
      </c>
      <c r="J23" s="7">
        <f>SUM(J24:J34)-J27</f>
        <v>3388222.1</v>
      </c>
      <c r="K23" s="7">
        <f>SUM(K24:K34)-K27</f>
        <v>3415870.7</v>
      </c>
      <c r="L23" s="7">
        <f>SUM(L24:L34)-L27</f>
        <v>3943053.6999999997</v>
      </c>
      <c r="M23" s="7" t="e">
        <f>SUM(M24:M34)-M27-#REF!</f>
        <v>#REF!</v>
      </c>
      <c r="N23" s="7" t="e">
        <f>SUM(N24:N34)-N27-#REF!</f>
        <v>#REF!</v>
      </c>
      <c r="O23" s="7" t="e">
        <f>SUM(O24:O34)-O27-#REF!</f>
        <v>#REF!</v>
      </c>
      <c r="P23" s="7" t="e">
        <f>SUM(P24:P34)-P27-#REF!</f>
        <v>#REF!</v>
      </c>
      <c r="Q23" s="7" t="e">
        <f>SUM(Q24:Q34)-Q27-#REF!</f>
        <v>#REF!</v>
      </c>
      <c r="R23" s="7">
        <v>8406270.2500000019</v>
      </c>
      <c r="S23" s="7">
        <v>9222647.5499999989</v>
      </c>
      <c r="T23" s="7">
        <v>10120109.100000001</v>
      </c>
      <c r="U23" s="7">
        <v>10845340.800000001</v>
      </c>
      <c r="V23" s="7">
        <v>11025427.599999998</v>
      </c>
      <c r="W23" s="7">
        <v>16992040.899999999</v>
      </c>
      <c r="X23" s="7">
        <v>19194984.700000003</v>
      </c>
      <c r="Y23" s="7">
        <v>19356591.199999999</v>
      </c>
      <c r="Z23" s="7">
        <v>22598982</v>
      </c>
    </row>
    <row r="24" spans="1:26" ht="34" x14ac:dyDescent="0.2">
      <c r="A24" s="19" t="s">
        <v>26</v>
      </c>
      <c r="B24" s="13">
        <v>28214.6</v>
      </c>
      <c r="C24" s="13">
        <v>33721.199999999997</v>
      </c>
      <c r="D24" s="13">
        <v>41362.400000000001</v>
      </c>
      <c r="E24" s="13">
        <v>46588.9</v>
      </c>
      <c r="F24" s="13">
        <v>53964.1</v>
      </c>
      <c r="G24" s="13">
        <v>77124.800000000003</v>
      </c>
      <c r="H24" s="13">
        <v>84228.3</v>
      </c>
      <c r="I24" s="13">
        <v>104603.3</v>
      </c>
      <c r="J24" s="13">
        <v>115208.2</v>
      </c>
      <c r="K24" s="13">
        <v>105924.1</v>
      </c>
      <c r="L24" s="13">
        <v>120511.3</v>
      </c>
      <c r="M24" s="13">
        <v>154953.70000000001</v>
      </c>
      <c r="N24" s="13">
        <v>160841.5</v>
      </c>
      <c r="O24" s="13">
        <v>178636.2</v>
      </c>
      <c r="P24" s="13">
        <v>191192.1</v>
      </c>
      <c r="Q24" s="14">
        <v>212049.5</v>
      </c>
      <c r="R24" s="15">
        <v>248217.44</v>
      </c>
      <c r="S24" s="13">
        <v>276881.03999999998</v>
      </c>
      <c r="T24" s="13">
        <v>307432.09999999998</v>
      </c>
      <c r="U24" s="13">
        <v>325303.3</v>
      </c>
      <c r="V24" s="13">
        <v>329414.09999999998</v>
      </c>
      <c r="W24" s="13">
        <v>454093.3</v>
      </c>
      <c r="X24" s="13">
        <v>397840.2</v>
      </c>
      <c r="Y24" s="13">
        <v>430742.7</v>
      </c>
      <c r="Z24" s="14">
        <v>479372.3</v>
      </c>
    </row>
    <row r="25" spans="1:26" ht="34" x14ac:dyDescent="0.2">
      <c r="A25" s="19" t="s">
        <v>27</v>
      </c>
      <c r="B25" s="13">
        <v>59473.1</v>
      </c>
      <c r="C25" s="13">
        <v>78276.5</v>
      </c>
      <c r="D25" s="13">
        <v>86019.4</v>
      </c>
      <c r="E25" s="13">
        <v>107149</v>
      </c>
      <c r="F25" s="13">
        <v>131588</v>
      </c>
      <c r="G25" s="13">
        <v>171307.2</v>
      </c>
      <c r="H25" s="13">
        <v>218490.7</v>
      </c>
      <c r="I25" s="13">
        <v>241150.5</v>
      </c>
      <c r="J25" s="13">
        <v>291812.09999999998</v>
      </c>
      <c r="K25" s="13">
        <v>302629.2</v>
      </c>
      <c r="L25" s="13">
        <v>353853</v>
      </c>
      <c r="M25" s="13">
        <v>435959.3</v>
      </c>
      <c r="N25" s="13">
        <v>479051.3</v>
      </c>
      <c r="O25" s="13">
        <v>482329.9</v>
      </c>
      <c r="P25" s="13">
        <v>484166.5</v>
      </c>
      <c r="Q25" s="14">
        <v>528403.4</v>
      </c>
      <c r="R25" s="15">
        <v>578724.21</v>
      </c>
      <c r="S25" s="13">
        <v>618813.91</v>
      </c>
      <c r="T25" s="13">
        <v>707044.3</v>
      </c>
      <c r="U25" s="13">
        <v>728413.9</v>
      </c>
      <c r="V25" s="13">
        <v>623110.6</v>
      </c>
      <c r="W25" s="13">
        <v>879075.1</v>
      </c>
      <c r="X25" s="13">
        <v>978616.3</v>
      </c>
      <c r="Y25" s="13">
        <v>1032091.2</v>
      </c>
      <c r="Z25" s="14">
        <v>1199837</v>
      </c>
    </row>
    <row r="26" spans="1:26" ht="34" x14ac:dyDescent="0.2">
      <c r="A26" s="19" t="s">
        <v>28</v>
      </c>
      <c r="B26" s="13">
        <v>61806.9</v>
      </c>
      <c r="C26" s="13">
        <v>67274.7</v>
      </c>
      <c r="D26" s="13">
        <v>83158.8</v>
      </c>
      <c r="E26" s="13">
        <v>103951.3</v>
      </c>
      <c r="F26" s="13">
        <v>142564.70000000001</v>
      </c>
      <c r="G26" s="13">
        <v>166433.4</v>
      </c>
      <c r="H26" s="13">
        <v>215932.7</v>
      </c>
      <c r="I26" s="13">
        <v>268672.09999999998</v>
      </c>
      <c r="J26" s="13">
        <v>289755.90000000002</v>
      </c>
      <c r="K26" s="13">
        <v>323606.8</v>
      </c>
      <c r="L26" s="13">
        <v>372804.8</v>
      </c>
      <c r="M26" s="13">
        <v>439116.79999999999</v>
      </c>
      <c r="N26" s="13">
        <v>472470.9</v>
      </c>
      <c r="O26" s="13">
        <v>500095.1</v>
      </c>
      <c r="P26" s="13">
        <v>542695.30000000005</v>
      </c>
      <c r="Q26" s="14">
        <v>627698.1</v>
      </c>
      <c r="R26" s="15">
        <v>713179.3</v>
      </c>
      <c r="S26" s="13">
        <v>768971.9</v>
      </c>
      <c r="T26" s="13">
        <v>876796.8</v>
      </c>
      <c r="U26" s="13">
        <v>901785.59999999998</v>
      </c>
      <c r="V26" s="13">
        <v>793406</v>
      </c>
      <c r="W26" s="13">
        <v>1091239.3999999999</v>
      </c>
      <c r="X26" s="13">
        <v>1197926.3999999999</v>
      </c>
      <c r="Y26" s="13">
        <v>1266755.2</v>
      </c>
      <c r="Z26" s="14">
        <v>1440193.6</v>
      </c>
    </row>
    <row r="27" spans="1:26" ht="51" x14ac:dyDescent="0.2">
      <c r="A27" s="19" t="s">
        <v>29</v>
      </c>
      <c r="B27" s="13">
        <v>11924</v>
      </c>
      <c r="C27" s="13">
        <v>11883.5</v>
      </c>
      <c r="D27" s="13">
        <v>16480.8</v>
      </c>
      <c r="E27" s="13">
        <v>25040.6</v>
      </c>
      <c r="F27" s="13">
        <v>39586.699999999997</v>
      </c>
      <c r="G27" s="13">
        <v>44718.3</v>
      </c>
      <c r="H27" s="13">
        <v>67248.399999999994</v>
      </c>
      <c r="I27" s="13">
        <v>97838.3</v>
      </c>
      <c r="J27" s="13">
        <v>91476.4</v>
      </c>
      <c r="K27" s="13">
        <v>130177.7</v>
      </c>
      <c r="L27" s="13">
        <v>145928.29999999999</v>
      </c>
      <c r="M27" s="13">
        <v>165431.29999999999</v>
      </c>
      <c r="N27" s="13">
        <v>157067.1</v>
      </c>
      <c r="O27" s="13">
        <v>173170.2</v>
      </c>
      <c r="P27" s="13">
        <v>187009.8</v>
      </c>
      <c r="Q27" s="14">
        <v>227193.5</v>
      </c>
      <c r="R27" s="15">
        <v>261772.6</v>
      </c>
      <c r="S27" s="13">
        <v>265791.09999999998</v>
      </c>
      <c r="T27" s="13">
        <v>320406.2</v>
      </c>
      <c r="U27" s="13">
        <v>331095.90000000002</v>
      </c>
      <c r="V27" s="13">
        <v>230775.1</v>
      </c>
      <c r="W27" s="13">
        <v>409902.6</v>
      </c>
      <c r="X27" s="13">
        <v>489323.7</v>
      </c>
      <c r="Y27" s="13">
        <v>503582.7</v>
      </c>
      <c r="Z27" s="14">
        <v>599460.80000000005</v>
      </c>
    </row>
    <row r="28" spans="1:26" ht="34" x14ac:dyDescent="0.2">
      <c r="A28" s="19" t="s">
        <v>31</v>
      </c>
      <c r="B28" s="13">
        <v>69195.5</v>
      </c>
      <c r="C28" s="13">
        <v>65425.3</v>
      </c>
      <c r="D28" s="13">
        <v>80731.899999999994</v>
      </c>
      <c r="E28" s="13">
        <v>107544.6</v>
      </c>
      <c r="F28" s="13">
        <v>161378.6</v>
      </c>
      <c r="G28" s="13">
        <v>193966.1</v>
      </c>
      <c r="H28" s="13">
        <v>201939.20000000001</v>
      </c>
      <c r="I28" s="13">
        <v>243336.3</v>
      </c>
      <c r="J28" s="13">
        <v>294926.2</v>
      </c>
      <c r="K28" s="13">
        <v>213396.9</v>
      </c>
      <c r="L28" s="13">
        <v>262432.7</v>
      </c>
      <c r="M28" s="13">
        <v>323067.90000000002</v>
      </c>
      <c r="N28" s="13">
        <v>355291.3</v>
      </c>
      <c r="O28" s="13">
        <v>346227.6</v>
      </c>
      <c r="P28" s="13">
        <v>387211.7</v>
      </c>
      <c r="Q28" s="14">
        <v>478893</v>
      </c>
      <c r="R28" s="15">
        <v>510088</v>
      </c>
      <c r="S28" s="13">
        <v>552842.4</v>
      </c>
      <c r="T28" s="13">
        <v>627589.6</v>
      </c>
      <c r="U28" s="13">
        <v>647511.5</v>
      </c>
      <c r="V28" s="13">
        <v>637951.5</v>
      </c>
      <c r="W28" s="13">
        <v>1040341</v>
      </c>
      <c r="X28" s="13">
        <v>1032805.5</v>
      </c>
      <c r="Y28" s="13">
        <v>1096102.1000000001</v>
      </c>
      <c r="Z28" s="14">
        <v>1210040.3999999999</v>
      </c>
    </row>
    <row r="29" spans="1:26" ht="51" x14ac:dyDescent="0.2">
      <c r="A29" s="19" t="s">
        <v>32</v>
      </c>
      <c r="B29" s="13">
        <v>23290.3</v>
      </c>
      <c r="C29" s="13">
        <v>32327.200000000001</v>
      </c>
      <c r="D29" s="13">
        <v>40120.300000000003</v>
      </c>
      <c r="E29" s="13">
        <v>46757.7</v>
      </c>
      <c r="F29" s="13">
        <v>66552.100000000006</v>
      </c>
      <c r="G29" s="13">
        <v>81837.600000000006</v>
      </c>
      <c r="H29" s="13">
        <v>103138.7</v>
      </c>
      <c r="I29" s="13">
        <v>143927.70000000001</v>
      </c>
      <c r="J29" s="13">
        <v>179266.7</v>
      </c>
      <c r="K29" s="13">
        <v>169519.6</v>
      </c>
      <c r="L29" s="13">
        <v>195749.1</v>
      </c>
      <c r="M29" s="13">
        <v>241004.79999999999</v>
      </c>
      <c r="N29" s="13">
        <v>265361.2</v>
      </c>
      <c r="O29" s="13">
        <v>275885.8</v>
      </c>
      <c r="P29" s="13">
        <v>314088.3</v>
      </c>
      <c r="Q29" s="14">
        <v>349818.6</v>
      </c>
      <c r="R29" s="15">
        <v>417445.1</v>
      </c>
      <c r="S29" s="13">
        <v>457548.1</v>
      </c>
      <c r="T29" s="13">
        <v>504838.6</v>
      </c>
      <c r="U29" s="13">
        <v>533237.9</v>
      </c>
      <c r="V29" s="13">
        <v>563206.9</v>
      </c>
      <c r="W29" s="13">
        <v>699585.6</v>
      </c>
      <c r="X29" s="13">
        <v>746567.8</v>
      </c>
      <c r="Y29" s="13">
        <v>815545.7</v>
      </c>
      <c r="Z29" s="14">
        <v>968454.3</v>
      </c>
    </row>
    <row r="30" spans="1:26" ht="34" x14ac:dyDescent="0.2">
      <c r="A30" s="19" t="s">
        <v>33</v>
      </c>
      <c r="B30" s="13">
        <v>56001.9</v>
      </c>
      <c r="C30" s="13">
        <v>75858.600000000006</v>
      </c>
      <c r="D30" s="13">
        <v>94747</v>
      </c>
      <c r="E30" s="13">
        <v>121222.3</v>
      </c>
      <c r="F30" s="13">
        <v>166445</v>
      </c>
      <c r="G30" s="13">
        <v>205416.9</v>
      </c>
      <c r="H30" s="13">
        <v>265260.40000000002</v>
      </c>
      <c r="I30" s="13">
        <v>309028.59999999998</v>
      </c>
      <c r="J30" s="13">
        <v>383255.4</v>
      </c>
      <c r="K30" s="13">
        <v>430395.5</v>
      </c>
      <c r="L30" s="13">
        <v>490303.7</v>
      </c>
      <c r="M30" s="13">
        <v>581712</v>
      </c>
      <c r="N30" s="13">
        <v>672066.9</v>
      </c>
      <c r="O30" s="13">
        <v>678718.3</v>
      </c>
      <c r="P30" s="13">
        <v>703325.6</v>
      </c>
      <c r="Q30" s="14">
        <v>849616.6</v>
      </c>
      <c r="R30" s="15">
        <v>953829.7</v>
      </c>
      <c r="S30" s="13">
        <v>1008601.7</v>
      </c>
      <c r="T30" s="13">
        <v>1154919</v>
      </c>
      <c r="U30" s="13">
        <v>1232910.3</v>
      </c>
      <c r="V30" s="13">
        <v>1247823.2</v>
      </c>
      <c r="W30" s="13">
        <v>1481175.4</v>
      </c>
      <c r="X30" s="13">
        <v>1665888.6</v>
      </c>
      <c r="Y30" s="13">
        <v>1932508.1</v>
      </c>
      <c r="Z30" s="14">
        <v>2404133.2000000002</v>
      </c>
    </row>
    <row r="31" spans="1:26" ht="34" x14ac:dyDescent="0.2">
      <c r="A31" s="19" t="s">
        <v>34</v>
      </c>
      <c r="B31" s="13">
        <v>55135</v>
      </c>
      <c r="C31" s="13">
        <v>57569.3</v>
      </c>
      <c r="D31" s="13">
        <v>68445.399999999994</v>
      </c>
      <c r="E31" s="13">
        <v>80604.100000000006</v>
      </c>
      <c r="F31" s="13">
        <v>124972</v>
      </c>
      <c r="G31" s="13">
        <v>132870.20000000001</v>
      </c>
      <c r="H31" s="13">
        <v>158127</v>
      </c>
      <c r="I31" s="13">
        <v>191584.6</v>
      </c>
      <c r="J31" s="13">
        <v>213733.5</v>
      </c>
      <c r="K31" s="13">
        <v>202235.5</v>
      </c>
      <c r="L31" s="13">
        <v>233438.9</v>
      </c>
      <c r="M31" s="13">
        <v>263811.7</v>
      </c>
      <c r="N31" s="13">
        <v>283846.2</v>
      </c>
      <c r="O31" s="13">
        <v>306578.7</v>
      </c>
      <c r="P31" s="13">
        <v>328291.8</v>
      </c>
      <c r="Q31" s="14">
        <v>401582.7</v>
      </c>
      <c r="R31" s="15">
        <v>467162.8</v>
      </c>
      <c r="S31" s="13">
        <v>488320.5</v>
      </c>
      <c r="T31" s="13">
        <v>530613.9</v>
      </c>
      <c r="U31" s="13">
        <v>626093.4</v>
      </c>
      <c r="V31" s="13">
        <v>808050.6</v>
      </c>
      <c r="W31" s="13">
        <v>1115825.8</v>
      </c>
      <c r="X31" s="13">
        <v>1158922.6000000001</v>
      </c>
      <c r="Y31" s="13">
        <v>1135528.5</v>
      </c>
      <c r="Z31" s="14">
        <v>1120855.3</v>
      </c>
    </row>
    <row r="32" spans="1:26" ht="34" x14ac:dyDescent="0.2">
      <c r="A32" s="19" t="s">
        <v>35</v>
      </c>
      <c r="B32" s="13">
        <v>20965.5</v>
      </c>
      <c r="C32" s="13">
        <v>27501</v>
      </c>
      <c r="D32" s="13">
        <v>31466.799999999999</v>
      </c>
      <c r="E32" s="13">
        <v>38081.699999999997</v>
      </c>
      <c r="F32" s="13">
        <v>49242.3</v>
      </c>
      <c r="G32" s="13">
        <v>63848.3</v>
      </c>
      <c r="H32" s="13">
        <v>74923.8</v>
      </c>
      <c r="I32" s="13">
        <v>86664.9</v>
      </c>
      <c r="J32" s="13">
        <v>115141.3</v>
      </c>
      <c r="K32" s="13">
        <v>117710</v>
      </c>
      <c r="L32" s="13">
        <v>127407.8</v>
      </c>
      <c r="M32" s="13">
        <v>153419.70000000001</v>
      </c>
      <c r="N32" s="13">
        <v>170605.7</v>
      </c>
      <c r="O32" s="13">
        <v>178818.1</v>
      </c>
      <c r="P32" s="13">
        <v>209304.4</v>
      </c>
      <c r="Q32" s="14">
        <v>234075.7</v>
      </c>
      <c r="R32" s="15">
        <v>253065.2</v>
      </c>
      <c r="S32" s="13">
        <v>260379</v>
      </c>
      <c r="T32" s="13">
        <v>263745.59999999998</v>
      </c>
      <c r="U32" s="13">
        <v>278243.5</v>
      </c>
      <c r="V32" s="13">
        <v>284171.5</v>
      </c>
      <c r="W32" s="13">
        <v>350093.9</v>
      </c>
      <c r="X32" s="13">
        <v>381227.5</v>
      </c>
      <c r="Y32" s="13">
        <v>413324.9</v>
      </c>
      <c r="Z32" s="14">
        <v>479269.2</v>
      </c>
    </row>
    <row r="33" spans="1:26" ht="34" x14ac:dyDescent="0.2">
      <c r="A33" s="19" t="s">
        <v>36</v>
      </c>
      <c r="B33" s="13">
        <v>16178.9</v>
      </c>
      <c r="C33" s="13">
        <v>19416.900000000001</v>
      </c>
      <c r="D33" s="13">
        <v>24098.9</v>
      </c>
      <c r="E33" s="13">
        <v>29488.400000000001</v>
      </c>
      <c r="F33" s="13">
        <v>35816</v>
      </c>
      <c r="G33" s="13">
        <v>40582.9</v>
      </c>
      <c r="H33" s="13">
        <v>51464.9</v>
      </c>
      <c r="I33" s="13">
        <v>61561.9</v>
      </c>
      <c r="J33" s="13">
        <v>73283.199999999997</v>
      </c>
      <c r="K33" s="13">
        <v>74647.8</v>
      </c>
      <c r="L33" s="13">
        <v>87066</v>
      </c>
      <c r="M33" s="13">
        <v>100498.5</v>
      </c>
      <c r="N33" s="13">
        <v>107547.5</v>
      </c>
      <c r="O33" s="13">
        <v>114676.2</v>
      </c>
      <c r="P33" s="13">
        <v>123825.60000000001</v>
      </c>
      <c r="Q33" s="14">
        <v>135239.5</v>
      </c>
      <c r="R33" s="15">
        <v>159210.29999999999</v>
      </c>
      <c r="S33" s="13">
        <v>169673.3</v>
      </c>
      <c r="T33" s="13">
        <v>184756.6</v>
      </c>
      <c r="U33" s="13">
        <v>200578.9</v>
      </c>
      <c r="V33" s="13">
        <v>205785.1</v>
      </c>
      <c r="W33" s="13">
        <v>231745.8</v>
      </c>
      <c r="X33" s="13">
        <v>259093</v>
      </c>
      <c r="Y33" s="13">
        <v>293990.7</v>
      </c>
      <c r="Z33" s="14">
        <v>351071</v>
      </c>
    </row>
    <row r="34" spans="1:26" ht="34" x14ac:dyDescent="0.2">
      <c r="A34" s="19" t="s">
        <v>37</v>
      </c>
      <c r="B34" s="20">
        <v>188243</v>
      </c>
      <c r="C34" s="20">
        <v>251654.39999999999</v>
      </c>
      <c r="D34" s="20">
        <v>336692.3</v>
      </c>
      <c r="E34" s="20">
        <v>409638.5</v>
      </c>
      <c r="F34" s="20">
        <v>542359.19999999995</v>
      </c>
      <c r="G34" s="20">
        <v>666392.80000000005</v>
      </c>
      <c r="H34" s="20">
        <v>825102.3</v>
      </c>
      <c r="I34" s="20">
        <v>1119660.3</v>
      </c>
      <c r="J34" s="20">
        <v>1431839.6</v>
      </c>
      <c r="K34" s="20">
        <v>1475805.3</v>
      </c>
      <c r="L34" s="20">
        <v>1699486.4</v>
      </c>
      <c r="M34" s="20">
        <v>2091914.3</v>
      </c>
      <c r="N34" s="20">
        <v>2280426</v>
      </c>
      <c r="O34" s="20">
        <v>2491423.2999999998</v>
      </c>
      <c r="P34" s="20">
        <v>2661210</v>
      </c>
      <c r="Q34" s="21">
        <v>3387417.7</v>
      </c>
      <c r="R34" s="22">
        <v>4105348.2</v>
      </c>
      <c r="S34" s="20">
        <v>4620615.7</v>
      </c>
      <c r="T34" s="20">
        <v>4962372.5999999996</v>
      </c>
      <c r="U34" s="13">
        <v>5371262.5</v>
      </c>
      <c r="V34" s="20">
        <v>5532508.0999999996</v>
      </c>
      <c r="W34" s="20">
        <v>9648865.5999999996</v>
      </c>
      <c r="X34" s="20">
        <v>11376096.800000001</v>
      </c>
      <c r="Y34" s="20">
        <v>10940002.1</v>
      </c>
      <c r="Z34" s="21">
        <v>12945755.699999999</v>
      </c>
    </row>
    <row r="35" spans="1:26" ht="51" x14ac:dyDescent="0.2">
      <c r="A35" s="23" t="s">
        <v>38</v>
      </c>
      <c r="B35" s="7">
        <f>SUM(B36:B41)</f>
        <v>329695.30000000005</v>
      </c>
      <c r="C35" s="7">
        <f>SUM(C36:C41)</f>
        <v>426507.8</v>
      </c>
      <c r="D35" s="7">
        <f>SUM(D36:D41)</f>
        <v>519019.2</v>
      </c>
      <c r="E35" s="7">
        <f>SUM(E36:E41)</f>
        <v>616085.30000000005</v>
      </c>
      <c r="F35" s="7">
        <f>SUM(F36:F41)</f>
        <v>766851.3</v>
      </c>
      <c r="G35" s="7">
        <f>SUM(G36:G41)</f>
        <v>936055.89999999991</v>
      </c>
      <c r="H35" s="7">
        <f>SUM(H36:H41)</f>
        <v>1195194.5</v>
      </c>
      <c r="I35" s="7">
        <f>SUM(I36:I41)</f>
        <v>1577082.9</v>
      </c>
      <c r="J35" s="7">
        <f>SUM(J36:J41)</f>
        <v>2001111.4999999998</v>
      </c>
      <c r="K35" s="7">
        <f>SUM(K36:K41)</f>
        <v>1994912.5</v>
      </c>
      <c r="L35" s="7">
        <f>SUM(L36:L41)</f>
        <v>2337936.9</v>
      </c>
      <c r="M35" s="7">
        <f>SUM(M36:M41)</f>
        <v>2777791.9000000004</v>
      </c>
      <c r="N35" s="7">
        <f>SUM(N36:N41)</f>
        <v>3185419.8</v>
      </c>
      <c r="O35" s="7">
        <f>SUM(O36:O41)</f>
        <v>3574075.6999999997</v>
      </c>
      <c r="P35" s="7">
        <f>SUM(P36:P41)</f>
        <v>3926624.3</v>
      </c>
      <c r="Q35" s="7">
        <f>SUM(Q36:Q41)</f>
        <v>4321681.5999999996</v>
      </c>
      <c r="R35" s="7">
        <v>5452018.6399999997</v>
      </c>
      <c r="S35" s="7">
        <v>5962861.8399999999</v>
      </c>
      <c r="T35" s="7">
        <v>6466592.8000000007</v>
      </c>
      <c r="U35" s="7">
        <v>6759090.9000000004</v>
      </c>
      <c r="V35" s="7">
        <v>6938239.8000000007</v>
      </c>
      <c r="W35" s="7">
        <v>8295172.3000000007</v>
      </c>
      <c r="X35" s="7">
        <v>9911095.6999999993</v>
      </c>
      <c r="Y35" s="7">
        <v>11160614.699999999</v>
      </c>
      <c r="Z35" s="7">
        <v>12572108.6</v>
      </c>
    </row>
    <row r="36" spans="1:26" ht="34" x14ac:dyDescent="0.2">
      <c r="A36" s="19" t="s">
        <v>39</v>
      </c>
      <c r="B36" s="24">
        <v>5519.6</v>
      </c>
      <c r="C36" s="24">
        <v>6641.8</v>
      </c>
      <c r="D36" s="24">
        <v>7909.9</v>
      </c>
      <c r="E36" s="24">
        <v>9849.2999999999993</v>
      </c>
      <c r="F36" s="24">
        <v>12493.2</v>
      </c>
      <c r="G36" s="24">
        <v>17029.099999999999</v>
      </c>
      <c r="H36" s="24">
        <v>21132.400000000001</v>
      </c>
      <c r="I36" s="24">
        <v>29085.1</v>
      </c>
      <c r="J36" s="24">
        <v>36134.400000000001</v>
      </c>
      <c r="K36" s="24">
        <v>41511.5</v>
      </c>
      <c r="L36" s="24">
        <v>47194.5</v>
      </c>
      <c r="M36" s="24">
        <v>56803.3</v>
      </c>
      <c r="N36" s="24">
        <v>65300.4</v>
      </c>
      <c r="O36" s="24">
        <v>70862.3</v>
      </c>
      <c r="P36" s="24">
        <v>75622.5</v>
      </c>
      <c r="Q36" s="25">
        <v>84306</v>
      </c>
      <c r="R36" s="26">
        <v>101107.4</v>
      </c>
      <c r="S36" s="24">
        <v>111609.4</v>
      </c>
      <c r="T36" s="24">
        <v>121942.5</v>
      </c>
      <c r="U36" s="13">
        <v>133044.6</v>
      </c>
      <c r="V36" s="24">
        <v>145008.79999999999</v>
      </c>
      <c r="W36" s="24">
        <v>173377.9</v>
      </c>
      <c r="X36" s="24">
        <v>192893.4</v>
      </c>
      <c r="Y36" s="24">
        <v>222128.8</v>
      </c>
      <c r="Z36" s="25">
        <v>284291.5</v>
      </c>
    </row>
    <row r="37" spans="1:26" ht="34" x14ac:dyDescent="0.2">
      <c r="A37" s="19" t="s">
        <v>40</v>
      </c>
      <c r="B37" s="13">
        <v>6212.6</v>
      </c>
      <c r="C37" s="13">
        <v>6732</v>
      </c>
      <c r="D37" s="13">
        <v>7272.3</v>
      </c>
      <c r="E37" s="13">
        <v>6539.5</v>
      </c>
      <c r="F37" s="13">
        <v>8518.5</v>
      </c>
      <c r="G37" s="13">
        <v>9685.7000000000007</v>
      </c>
      <c r="H37" s="13">
        <v>12844.1</v>
      </c>
      <c r="I37" s="13">
        <v>17225.8</v>
      </c>
      <c r="J37" s="13">
        <v>20789.7</v>
      </c>
      <c r="K37" s="13">
        <v>23948.1</v>
      </c>
      <c r="L37" s="13">
        <v>24404.1</v>
      </c>
      <c r="M37" s="13">
        <v>29318.7</v>
      </c>
      <c r="N37" s="13">
        <v>35897.800000000003</v>
      </c>
      <c r="O37" s="13">
        <v>41165.9</v>
      </c>
      <c r="P37" s="13">
        <v>46680.6</v>
      </c>
      <c r="Q37" s="14">
        <v>51958.5</v>
      </c>
      <c r="R37" s="15">
        <v>69564.600000000006</v>
      </c>
      <c r="S37" s="13">
        <v>81376.2</v>
      </c>
      <c r="T37" s="13">
        <v>87402.6</v>
      </c>
      <c r="U37" s="13">
        <v>90201.1</v>
      </c>
      <c r="V37" s="13">
        <v>95184.6</v>
      </c>
      <c r="W37" s="13">
        <v>103503.2</v>
      </c>
      <c r="X37" s="13">
        <v>120632.1</v>
      </c>
      <c r="Y37" s="13">
        <v>168214.2</v>
      </c>
      <c r="Z37" s="14">
        <v>217266.4</v>
      </c>
    </row>
    <row r="38" spans="1:26" ht="34" x14ac:dyDescent="0.2">
      <c r="A38" s="19" t="s">
        <v>41</v>
      </c>
      <c r="B38" s="13">
        <v>137125.29999999999</v>
      </c>
      <c r="C38" s="13">
        <v>179177.5</v>
      </c>
      <c r="D38" s="13">
        <v>217727.6</v>
      </c>
      <c r="E38" s="13">
        <v>248565.5</v>
      </c>
      <c r="F38" s="13">
        <v>313623.59999999998</v>
      </c>
      <c r="G38" s="13">
        <v>372929.8</v>
      </c>
      <c r="H38" s="13">
        <v>483950.7</v>
      </c>
      <c r="I38" s="13">
        <v>648211.30000000005</v>
      </c>
      <c r="J38" s="13">
        <v>803834.1</v>
      </c>
      <c r="K38" s="13">
        <v>861603.3</v>
      </c>
      <c r="L38" s="13">
        <v>1028308.4</v>
      </c>
      <c r="M38" s="13">
        <v>1244652.8</v>
      </c>
      <c r="N38" s="13">
        <v>1459490.8</v>
      </c>
      <c r="O38" s="13">
        <v>1662969.0999999999</v>
      </c>
      <c r="P38" s="13">
        <v>1784833.5</v>
      </c>
      <c r="Q38" s="14">
        <v>1933512.1</v>
      </c>
      <c r="R38" s="15">
        <v>2257605.7000000002</v>
      </c>
      <c r="S38" s="13">
        <v>2467327.7999999998</v>
      </c>
      <c r="T38" s="13">
        <v>2553586</v>
      </c>
      <c r="U38" s="13">
        <v>2629935.9</v>
      </c>
      <c r="V38" s="13">
        <v>2724319</v>
      </c>
      <c r="W38" s="13">
        <v>3341779.4</v>
      </c>
      <c r="X38" s="13">
        <v>4340008.4000000004</v>
      </c>
      <c r="Y38" s="13">
        <v>4825373</v>
      </c>
      <c r="Z38" s="14">
        <v>5383938.7000000002</v>
      </c>
    </row>
    <row r="39" spans="1:26" ht="34" x14ac:dyDescent="0.2">
      <c r="A39" s="19" t="s">
        <v>42</v>
      </c>
      <c r="B39" s="13">
        <v>28115.7</v>
      </c>
      <c r="C39" s="13">
        <v>32274.3</v>
      </c>
      <c r="D39" s="13">
        <v>40994.9</v>
      </c>
      <c r="E39" s="13">
        <v>50659.8</v>
      </c>
      <c r="F39" s="13">
        <v>56710.9</v>
      </c>
      <c r="G39" s="13">
        <v>70127.600000000006</v>
      </c>
      <c r="H39" s="13">
        <v>85112.1</v>
      </c>
      <c r="I39" s="13">
        <v>100359.2</v>
      </c>
      <c r="J39" s="13">
        <v>147549.1</v>
      </c>
      <c r="K39" s="13">
        <v>134418.20000000001</v>
      </c>
      <c r="L39" s="13">
        <v>144888.79999999999</v>
      </c>
      <c r="M39" s="13">
        <v>172616.6</v>
      </c>
      <c r="N39" s="13">
        <v>209654.39999999999</v>
      </c>
      <c r="O39" s="13">
        <v>273917.09999999998</v>
      </c>
      <c r="P39" s="13">
        <v>296319.3</v>
      </c>
      <c r="Q39" s="14">
        <v>322303</v>
      </c>
      <c r="R39" s="15">
        <v>368562</v>
      </c>
      <c r="S39" s="13">
        <v>449023.6</v>
      </c>
      <c r="T39" s="13">
        <v>586625.6</v>
      </c>
      <c r="U39" s="13">
        <v>609149.30000000005</v>
      </c>
      <c r="V39" s="13">
        <v>534042.30000000005</v>
      </c>
      <c r="W39" s="13">
        <v>670917.19999999995</v>
      </c>
      <c r="X39" s="13">
        <v>769968.2</v>
      </c>
      <c r="Y39" s="13">
        <v>786036.8</v>
      </c>
      <c r="Z39" s="14">
        <v>894396.7</v>
      </c>
    </row>
    <row r="40" spans="1:26" ht="34" x14ac:dyDescent="0.2">
      <c r="A40" s="19" t="s">
        <v>43</v>
      </c>
      <c r="B40" s="13">
        <v>63767.1</v>
      </c>
      <c r="C40" s="13">
        <v>82919.7</v>
      </c>
      <c r="D40" s="13">
        <v>104341.2</v>
      </c>
      <c r="E40" s="13">
        <v>128622.2</v>
      </c>
      <c r="F40" s="13">
        <v>154337.70000000001</v>
      </c>
      <c r="G40" s="13">
        <v>203232.2</v>
      </c>
      <c r="H40" s="13">
        <v>252142.7</v>
      </c>
      <c r="I40" s="13">
        <v>331766.8</v>
      </c>
      <c r="J40" s="13">
        <v>416678.5</v>
      </c>
      <c r="K40" s="13">
        <v>377514.3</v>
      </c>
      <c r="L40" s="13">
        <v>433473.7</v>
      </c>
      <c r="M40" s="13">
        <v>508433.3</v>
      </c>
      <c r="N40" s="13">
        <v>571516.1</v>
      </c>
      <c r="O40" s="13">
        <v>607472.19999999995</v>
      </c>
      <c r="P40" s="13">
        <v>715409.6</v>
      </c>
      <c r="Q40" s="14">
        <v>740458</v>
      </c>
      <c r="R40" s="15">
        <v>826063.2</v>
      </c>
      <c r="S40" s="13">
        <v>868865.1</v>
      </c>
      <c r="T40" s="13">
        <v>949322</v>
      </c>
      <c r="U40" s="13">
        <v>985058</v>
      </c>
      <c r="V40" s="13">
        <v>999191.5</v>
      </c>
      <c r="W40" s="13">
        <v>1089882.8</v>
      </c>
      <c r="X40" s="13">
        <v>1227052</v>
      </c>
      <c r="Y40" s="13">
        <v>1397014.3</v>
      </c>
      <c r="Z40" s="14">
        <v>1517988.7</v>
      </c>
    </row>
    <row r="41" spans="1:26" ht="34" x14ac:dyDescent="0.2">
      <c r="A41" s="19" t="s">
        <v>44</v>
      </c>
      <c r="B41" s="13">
        <v>88955</v>
      </c>
      <c r="C41" s="13">
        <v>118762.5</v>
      </c>
      <c r="D41" s="13">
        <v>140773.29999999999</v>
      </c>
      <c r="E41" s="13">
        <v>171849</v>
      </c>
      <c r="F41" s="13">
        <v>221167.4</v>
      </c>
      <c r="G41" s="13">
        <v>263051.5</v>
      </c>
      <c r="H41" s="13">
        <v>340012.5</v>
      </c>
      <c r="I41" s="13">
        <v>450434.7</v>
      </c>
      <c r="J41" s="13">
        <v>576125.69999999995</v>
      </c>
      <c r="K41" s="13">
        <v>555917.1</v>
      </c>
      <c r="L41" s="13">
        <v>659667.4</v>
      </c>
      <c r="M41" s="13">
        <v>765967.2</v>
      </c>
      <c r="N41" s="13">
        <v>843560.3</v>
      </c>
      <c r="O41" s="13">
        <v>917689.1</v>
      </c>
      <c r="P41" s="13">
        <v>1007758.8</v>
      </c>
      <c r="Q41" s="14">
        <v>1189144</v>
      </c>
      <c r="R41" s="15">
        <v>1376960.8</v>
      </c>
      <c r="S41" s="13">
        <v>1485532</v>
      </c>
      <c r="T41" s="13">
        <v>1593414.2</v>
      </c>
      <c r="U41" s="13">
        <v>1682315.7</v>
      </c>
      <c r="V41" s="13">
        <v>1763261.7</v>
      </c>
      <c r="W41" s="13">
        <v>2094491.2</v>
      </c>
      <c r="X41" s="13">
        <v>2362308.1</v>
      </c>
      <c r="Y41" s="13">
        <v>2763262</v>
      </c>
      <c r="Z41" s="14">
        <v>3094242.6</v>
      </c>
    </row>
    <row r="42" spans="1:26" ht="85" x14ac:dyDescent="0.2">
      <c r="A42" s="2" t="s">
        <v>45</v>
      </c>
      <c r="B42" s="7">
        <f t="shared" ref="B42:Q42" si="1">SUM(B43:B49)</f>
        <v>105178</v>
      </c>
      <c r="C42" s="7">
        <f t="shared" si="1"/>
        <v>142442.1</v>
      </c>
      <c r="D42" s="7">
        <f t="shared" si="1"/>
        <v>174564.1</v>
      </c>
      <c r="E42" s="27">
        <f t="shared" si="1"/>
        <v>220169.60000000001</v>
      </c>
      <c r="F42" s="27">
        <f t="shared" si="1"/>
        <v>275606.29999999993</v>
      </c>
      <c r="G42" s="27">
        <f t="shared" si="1"/>
        <v>352070</v>
      </c>
      <c r="H42" s="27">
        <f t="shared" si="1"/>
        <v>457117.5</v>
      </c>
      <c r="I42" s="27">
        <f t="shared" si="1"/>
        <v>573220.1</v>
      </c>
      <c r="J42" s="27">
        <f t="shared" si="1"/>
        <v>728230.9</v>
      </c>
      <c r="K42" s="27">
        <f t="shared" si="1"/>
        <v>786670.89999999991</v>
      </c>
      <c r="L42" s="27">
        <f t="shared" si="1"/>
        <v>891834.3</v>
      </c>
      <c r="M42" s="27">
        <f t="shared" si="1"/>
        <v>1066319.6000000001</v>
      </c>
      <c r="N42" s="27">
        <f t="shared" si="1"/>
        <v>1209038.8</v>
      </c>
      <c r="O42" s="27">
        <f t="shared" si="1"/>
        <v>1397672.6</v>
      </c>
      <c r="P42" s="27">
        <f t="shared" si="1"/>
        <v>1577951.5</v>
      </c>
      <c r="Q42" s="7">
        <f t="shared" si="1"/>
        <v>1709050.7</v>
      </c>
      <c r="R42" s="27">
        <v>1970498</v>
      </c>
      <c r="S42" s="27">
        <v>2076806.2</v>
      </c>
      <c r="T42" s="27">
        <v>2199071.9000000004</v>
      </c>
      <c r="U42" s="7">
        <v>2333369.5</v>
      </c>
      <c r="V42" s="7">
        <v>2404925.9</v>
      </c>
      <c r="W42" s="27">
        <v>2754503.5</v>
      </c>
      <c r="X42" s="27">
        <v>3079548.5999999996</v>
      </c>
      <c r="Y42" s="27">
        <v>3581798.1999999997</v>
      </c>
      <c r="Z42" s="7">
        <v>4206719.8</v>
      </c>
    </row>
    <row r="43" spans="1:26" ht="34" x14ac:dyDescent="0.2">
      <c r="A43" s="19" t="s">
        <v>46</v>
      </c>
      <c r="B43" s="13">
        <v>20921.099999999999</v>
      </c>
      <c r="C43" s="13">
        <v>31544</v>
      </c>
      <c r="D43" s="13">
        <v>41441</v>
      </c>
      <c r="E43" s="13">
        <v>57626.7</v>
      </c>
      <c r="F43" s="13">
        <v>80712.399999999994</v>
      </c>
      <c r="G43" s="13">
        <v>90442.6</v>
      </c>
      <c r="H43" s="13">
        <v>124153.5</v>
      </c>
      <c r="I43" s="13">
        <v>156928.79999999999</v>
      </c>
      <c r="J43" s="13">
        <v>216277.2</v>
      </c>
      <c r="K43" s="13">
        <v>257832.7</v>
      </c>
      <c r="L43" s="13">
        <v>274354.2</v>
      </c>
      <c r="M43" s="13">
        <v>330322.8</v>
      </c>
      <c r="N43" s="13">
        <v>374710.3</v>
      </c>
      <c r="O43" s="13">
        <v>452882.2</v>
      </c>
      <c r="P43" s="13">
        <v>528131.30000000005</v>
      </c>
      <c r="Q43" s="14">
        <v>569297.30000000005</v>
      </c>
      <c r="R43" s="15">
        <v>617610.9</v>
      </c>
      <c r="S43" s="13">
        <v>643486.4</v>
      </c>
      <c r="T43" s="13">
        <v>680431</v>
      </c>
      <c r="U43" s="13">
        <v>718055.1</v>
      </c>
      <c r="V43" s="13">
        <v>745264.7</v>
      </c>
      <c r="W43" s="13">
        <v>806821.8</v>
      </c>
      <c r="X43" s="13">
        <v>880243.19999999995</v>
      </c>
      <c r="Y43" s="13">
        <v>1002987</v>
      </c>
      <c r="Z43" s="14">
        <v>1132803</v>
      </c>
    </row>
    <row r="44" spans="1:26" ht="34" x14ac:dyDescent="0.2">
      <c r="A44" s="19" t="s">
        <v>47</v>
      </c>
      <c r="B44" s="13">
        <v>2618.5</v>
      </c>
      <c r="C44" s="13">
        <v>3604.3</v>
      </c>
      <c r="D44" s="13">
        <v>3582.1</v>
      </c>
      <c r="E44" s="13">
        <v>4756.6000000000004</v>
      </c>
      <c r="F44" s="13">
        <v>6210.4</v>
      </c>
      <c r="G44" s="13">
        <v>7419.3</v>
      </c>
      <c r="H44" s="13">
        <v>9033.5</v>
      </c>
      <c r="I44" s="13">
        <v>16812.400000000001</v>
      </c>
      <c r="J44" s="13">
        <v>19172.900000000001</v>
      </c>
      <c r="K44" s="13">
        <v>18953.3</v>
      </c>
      <c r="L44" s="13">
        <v>19929.099999999999</v>
      </c>
      <c r="M44" s="13">
        <v>26858.899999999998</v>
      </c>
      <c r="N44" s="13">
        <v>37413.9</v>
      </c>
      <c r="O44" s="13">
        <v>45766.7</v>
      </c>
      <c r="P44" s="13">
        <v>51908.2</v>
      </c>
      <c r="Q44" s="14">
        <v>50091</v>
      </c>
      <c r="R44" s="15">
        <v>58141.5</v>
      </c>
      <c r="S44" s="13">
        <v>61527</v>
      </c>
      <c r="T44" s="13">
        <v>68227.899999999994</v>
      </c>
      <c r="U44" s="13">
        <v>74570.8</v>
      </c>
      <c r="V44" s="13">
        <v>71656.3</v>
      </c>
      <c r="W44" s="13">
        <v>72562.600000000006</v>
      </c>
      <c r="X44" s="13">
        <v>84432.9</v>
      </c>
      <c r="Y44" s="13">
        <v>95209.8</v>
      </c>
      <c r="Z44" s="14">
        <v>108594.8</v>
      </c>
    </row>
    <row r="45" spans="1:26" ht="51" x14ac:dyDescent="0.2">
      <c r="A45" s="19" t="s">
        <v>48</v>
      </c>
      <c r="B45" s="13">
        <v>14081.3</v>
      </c>
      <c r="C45" s="13">
        <v>19443.3</v>
      </c>
      <c r="D45" s="13">
        <v>22774.5</v>
      </c>
      <c r="E45" s="13">
        <v>25997.4</v>
      </c>
      <c r="F45" s="13">
        <v>29052.9</v>
      </c>
      <c r="G45" s="13">
        <v>36833.4</v>
      </c>
      <c r="H45" s="13">
        <v>43309.7</v>
      </c>
      <c r="I45" s="13">
        <v>48908.7</v>
      </c>
      <c r="J45" s="13">
        <v>58093.4</v>
      </c>
      <c r="K45" s="13">
        <v>65660.100000000006</v>
      </c>
      <c r="L45" s="13">
        <v>77086.399999999994</v>
      </c>
      <c r="M45" s="13">
        <v>90594.5</v>
      </c>
      <c r="N45" s="13">
        <v>106711.2</v>
      </c>
      <c r="O45" s="13">
        <v>110971.5</v>
      </c>
      <c r="P45" s="13">
        <v>116886</v>
      </c>
      <c r="Q45" s="14">
        <v>120528.79999999999</v>
      </c>
      <c r="R45" s="15">
        <v>152971.9</v>
      </c>
      <c r="S45" s="13">
        <v>157978.70000000001</v>
      </c>
      <c r="T45" s="13">
        <v>164397.70000000001</v>
      </c>
      <c r="U45" s="13">
        <v>174178.6</v>
      </c>
      <c r="V45" s="13">
        <v>182743.9</v>
      </c>
      <c r="W45" s="13">
        <v>215707.2</v>
      </c>
      <c r="X45" s="13">
        <v>248944.6</v>
      </c>
      <c r="Y45" s="13">
        <v>293838.2</v>
      </c>
      <c r="Z45" s="14">
        <v>346013.6</v>
      </c>
    </row>
    <row r="46" spans="1:26" ht="51" x14ac:dyDescent="0.2">
      <c r="A46" s="19" t="s">
        <v>49</v>
      </c>
      <c r="B46" s="13">
        <v>5461.5</v>
      </c>
      <c r="C46" s="13">
        <v>7324.8</v>
      </c>
      <c r="D46" s="13">
        <v>10234.5</v>
      </c>
      <c r="E46" s="13">
        <v>11481.1</v>
      </c>
      <c r="F46" s="13">
        <v>13127.2</v>
      </c>
      <c r="G46" s="13">
        <v>16724.3</v>
      </c>
      <c r="H46" s="13">
        <v>23260.1</v>
      </c>
      <c r="I46" s="13">
        <v>27469.7</v>
      </c>
      <c r="J46" s="13">
        <v>35714.199999999997</v>
      </c>
      <c r="K46" s="13">
        <v>38584.1</v>
      </c>
      <c r="L46" s="13">
        <v>43651.5</v>
      </c>
      <c r="M46" s="13">
        <v>49252.1</v>
      </c>
      <c r="N46" s="13">
        <v>58712.1</v>
      </c>
      <c r="O46" s="13">
        <v>66106.600000000006</v>
      </c>
      <c r="P46" s="13">
        <v>65326.6</v>
      </c>
      <c r="Q46" s="14">
        <v>67482.7</v>
      </c>
      <c r="R46" s="15">
        <v>78526.899999999994</v>
      </c>
      <c r="S46" s="13">
        <v>84149.9</v>
      </c>
      <c r="T46" s="13">
        <v>87143.6</v>
      </c>
      <c r="U46" s="13">
        <v>92727.9</v>
      </c>
      <c r="V46" s="13">
        <v>96584.3</v>
      </c>
      <c r="W46" s="13">
        <v>109874.8</v>
      </c>
      <c r="X46" s="13">
        <v>124887.6</v>
      </c>
      <c r="Y46" s="13">
        <v>147133.20000000001</v>
      </c>
      <c r="Z46" s="14">
        <v>162888.6</v>
      </c>
    </row>
    <row r="47" spans="1:26" ht="68" x14ac:dyDescent="0.2">
      <c r="A47" s="19" t="s">
        <v>50</v>
      </c>
      <c r="B47" s="13">
        <v>8363.2000000000007</v>
      </c>
      <c r="C47" s="13">
        <v>12665.3</v>
      </c>
      <c r="D47" s="13">
        <v>15997.5</v>
      </c>
      <c r="E47" s="13">
        <v>18925.2</v>
      </c>
      <c r="F47" s="13">
        <v>24268</v>
      </c>
      <c r="G47" s="13">
        <v>31182.2</v>
      </c>
      <c r="H47" s="13">
        <v>43341.2</v>
      </c>
      <c r="I47" s="13">
        <v>52804.800000000003</v>
      </c>
      <c r="J47" s="13">
        <v>57707.4</v>
      </c>
      <c r="K47" s="13">
        <v>64081.4</v>
      </c>
      <c r="L47" s="13">
        <v>75327.399999999994</v>
      </c>
      <c r="M47" s="13">
        <v>85876.7</v>
      </c>
      <c r="N47" s="13">
        <v>97448.8</v>
      </c>
      <c r="O47" s="13">
        <v>118637.5</v>
      </c>
      <c r="P47" s="13">
        <v>125960.5</v>
      </c>
      <c r="Q47" s="14">
        <v>126051.2</v>
      </c>
      <c r="R47" s="15">
        <v>148814.29999999999</v>
      </c>
      <c r="S47" s="13">
        <v>154975.29999999999</v>
      </c>
      <c r="T47" s="13">
        <v>163925.5</v>
      </c>
      <c r="U47" s="13">
        <v>176127.6</v>
      </c>
      <c r="V47" s="13">
        <v>182022</v>
      </c>
      <c r="W47" s="13">
        <v>200773.2</v>
      </c>
      <c r="X47" s="13">
        <v>223516.5</v>
      </c>
      <c r="Y47" s="13">
        <v>267816.30000000005</v>
      </c>
      <c r="Z47" s="14">
        <v>321304.7</v>
      </c>
    </row>
    <row r="48" spans="1:26" ht="34" x14ac:dyDescent="0.2">
      <c r="A48" s="19" t="s">
        <v>51</v>
      </c>
      <c r="B48" s="13" t="s">
        <v>30</v>
      </c>
      <c r="C48" s="13" t="s">
        <v>30</v>
      </c>
      <c r="D48" s="13" t="s">
        <v>30</v>
      </c>
      <c r="E48" s="13" t="s">
        <v>30</v>
      </c>
      <c r="F48" s="13" t="s">
        <v>30</v>
      </c>
      <c r="G48" s="13">
        <v>22898.9</v>
      </c>
      <c r="H48" s="13">
        <v>32344.400000000001</v>
      </c>
      <c r="I48" s="13">
        <v>48056.1</v>
      </c>
      <c r="J48" s="13">
        <v>66273.8</v>
      </c>
      <c r="K48" s="13">
        <v>64308.3</v>
      </c>
      <c r="L48" s="13">
        <v>70694.899999999994</v>
      </c>
      <c r="M48" s="13">
        <v>86623</v>
      </c>
      <c r="N48" s="13">
        <v>102289.1</v>
      </c>
      <c r="O48" s="13">
        <v>122402.8</v>
      </c>
      <c r="P48" s="13">
        <v>148942.1</v>
      </c>
      <c r="Q48" s="14">
        <v>154401.4</v>
      </c>
      <c r="R48" s="15">
        <v>201679</v>
      </c>
      <c r="S48" s="13">
        <v>217952.2</v>
      </c>
      <c r="T48" s="13">
        <v>226189</v>
      </c>
      <c r="U48" s="13">
        <v>244187.8</v>
      </c>
      <c r="V48" s="13">
        <v>254759.4</v>
      </c>
      <c r="W48" s="13">
        <v>281740.09999999998</v>
      </c>
      <c r="X48" s="13">
        <v>316764.09999999998</v>
      </c>
      <c r="Y48" s="13">
        <v>393815.3</v>
      </c>
      <c r="Z48" s="14">
        <v>539523</v>
      </c>
    </row>
    <row r="49" spans="1:26" ht="34" x14ac:dyDescent="0.2">
      <c r="A49" s="19" t="s">
        <v>52</v>
      </c>
      <c r="B49" s="13">
        <v>53732.4</v>
      </c>
      <c r="C49" s="13">
        <v>67860.399999999994</v>
      </c>
      <c r="D49" s="13">
        <v>80534.5</v>
      </c>
      <c r="E49" s="13">
        <v>101382.6</v>
      </c>
      <c r="F49" s="13">
        <v>122235.4</v>
      </c>
      <c r="G49" s="13">
        <v>146569.29999999999</v>
      </c>
      <c r="H49" s="13">
        <v>181675.1</v>
      </c>
      <c r="I49" s="13">
        <v>222239.6</v>
      </c>
      <c r="J49" s="13">
        <v>274992</v>
      </c>
      <c r="K49" s="13">
        <v>277251</v>
      </c>
      <c r="L49" s="13">
        <v>330790.8</v>
      </c>
      <c r="M49" s="13">
        <v>396791.6</v>
      </c>
      <c r="N49" s="13">
        <v>431753.4</v>
      </c>
      <c r="O49" s="13">
        <v>480905.3</v>
      </c>
      <c r="P49" s="13">
        <v>540796.80000000005</v>
      </c>
      <c r="Q49" s="14">
        <v>621198.30000000005</v>
      </c>
      <c r="R49" s="15">
        <v>712753.5</v>
      </c>
      <c r="S49" s="13">
        <v>756736.7</v>
      </c>
      <c r="T49" s="13">
        <v>808757.2</v>
      </c>
      <c r="U49" s="13">
        <v>853521.7</v>
      </c>
      <c r="V49" s="13">
        <v>871895.3</v>
      </c>
      <c r="W49" s="13">
        <v>1067023.8</v>
      </c>
      <c r="X49" s="13">
        <v>1200759.7</v>
      </c>
      <c r="Y49" s="13">
        <v>1380998.4</v>
      </c>
      <c r="Z49" s="14">
        <v>1595592.0999999999</v>
      </c>
    </row>
    <row r="50" spans="1:26" x14ac:dyDescent="0.2">
      <c r="A50" s="28" t="s">
        <v>53</v>
      </c>
      <c r="B50" s="7">
        <f t="shared" ref="B50:Q50" si="2">SUM(B51:B64)</f>
        <v>1036789</v>
      </c>
      <c r="C50" s="7">
        <f t="shared" si="2"/>
        <v>1292756.5</v>
      </c>
      <c r="D50" s="7">
        <f t="shared" si="2"/>
        <v>1483309.5999999999</v>
      </c>
      <c r="E50" s="27">
        <f t="shared" si="2"/>
        <v>1807987.0000000002</v>
      </c>
      <c r="F50" s="27">
        <f t="shared" si="2"/>
        <v>2284895.7999999998</v>
      </c>
      <c r="G50" s="27">
        <f t="shared" si="2"/>
        <v>2799035.9000000004</v>
      </c>
      <c r="H50" s="27">
        <f t="shared" si="2"/>
        <v>3513341.5999999996</v>
      </c>
      <c r="I50" s="27">
        <f t="shared" si="2"/>
        <v>4330427.5999999996</v>
      </c>
      <c r="J50" s="27">
        <f>SUM(J51:J64)</f>
        <v>5324051.1000000006</v>
      </c>
      <c r="K50" s="27">
        <f>SUM(K51:K64)</f>
        <v>4922531.5000000009</v>
      </c>
      <c r="L50" s="27">
        <f>SUM(L51:L64)</f>
        <v>5709469.8000000017</v>
      </c>
      <c r="M50" s="27">
        <f>SUM(M51:M64)</f>
        <v>7050735.5000000009</v>
      </c>
      <c r="N50" s="27">
        <f>SUM(N51:N64)</f>
        <v>7864342.2000000002</v>
      </c>
      <c r="O50" s="27">
        <f t="shared" si="2"/>
        <v>8474685</v>
      </c>
      <c r="P50" s="27">
        <f>SUM(P51:P64)</f>
        <v>9185550</v>
      </c>
      <c r="Q50" s="7">
        <f t="shared" si="2"/>
        <v>10068677.1</v>
      </c>
      <c r="R50" s="27">
        <v>11089719.5</v>
      </c>
      <c r="S50" s="27">
        <v>12125799.399999999</v>
      </c>
      <c r="T50" s="27">
        <v>13666085.800000001</v>
      </c>
      <c r="U50" s="7">
        <v>14450108.300000001</v>
      </c>
      <c r="V50" s="7">
        <v>14028535.700000001</v>
      </c>
      <c r="W50" s="27">
        <v>17550986.400000002</v>
      </c>
      <c r="X50" s="27">
        <v>19861085.600000005</v>
      </c>
      <c r="Y50" s="27">
        <v>22499090.799999997</v>
      </c>
      <c r="Z50" s="7">
        <v>26302754.599999998</v>
      </c>
    </row>
    <row r="51" spans="1:26" x14ac:dyDescent="0.2">
      <c r="A51" s="29" t="s">
        <v>54</v>
      </c>
      <c r="B51" s="13">
        <v>145125</v>
      </c>
      <c r="C51" s="13">
        <v>166974.79999999999</v>
      </c>
      <c r="D51" s="13">
        <v>187842.2</v>
      </c>
      <c r="E51" s="13">
        <v>242920.5</v>
      </c>
      <c r="F51" s="13">
        <v>310845.09999999998</v>
      </c>
      <c r="G51" s="13">
        <v>381646.5</v>
      </c>
      <c r="H51" s="13">
        <v>505205.8</v>
      </c>
      <c r="I51" s="13">
        <v>590054.1</v>
      </c>
      <c r="J51" s="13">
        <v>743133.4</v>
      </c>
      <c r="K51" s="13">
        <v>647911.69999999995</v>
      </c>
      <c r="L51" s="13">
        <v>759203.3</v>
      </c>
      <c r="M51" s="13">
        <v>941023.6</v>
      </c>
      <c r="N51" s="13">
        <v>1149384.6000000001</v>
      </c>
      <c r="O51" s="13">
        <v>1163219</v>
      </c>
      <c r="P51" s="13">
        <v>1260010.3999999999</v>
      </c>
      <c r="Q51" s="14">
        <v>1316598.3</v>
      </c>
      <c r="R51" s="15">
        <v>1422153.8</v>
      </c>
      <c r="S51" s="13">
        <v>1520083.9</v>
      </c>
      <c r="T51" s="13">
        <v>1775801.4</v>
      </c>
      <c r="U51" s="13">
        <v>1839779.2</v>
      </c>
      <c r="V51" s="13">
        <v>1733498</v>
      </c>
      <c r="W51" s="13">
        <v>2059012.2</v>
      </c>
      <c r="X51" s="13">
        <v>2253879.2999999998</v>
      </c>
      <c r="Y51" s="13">
        <v>2496150.1</v>
      </c>
      <c r="Z51" s="14">
        <v>2998271.4</v>
      </c>
    </row>
    <row r="52" spans="1:26" x14ac:dyDescent="0.2">
      <c r="A52" s="29" t="s">
        <v>55</v>
      </c>
      <c r="B52" s="13">
        <v>11207.6</v>
      </c>
      <c r="C52" s="13">
        <v>15087.8</v>
      </c>
      <c r="D52" s="13">
        <v>17815.3</v>
      </c>
      <c r="E52" s="13">
        <v>22987.3</v>
      </c>
      <c r="F52" s="13">
        <v>30085.599999999999</v>
      </c>
      <c r="G52" s="13">
        <v>33350.699999999997</v>
      </c>
      <c r="H52" s="13">
        <v>43663.7</v>
      </c>
      <c r="I52" s="13">
        <v>55069.2</v>
      </c>
      <c r="J52" s="13">
        <v>65765.3</v>
      </c>
      <c r="K52" s="13">
        <v>69271.5</v>
      </c>
      <c r="L52" s="13">
        <v>82374.399999999994</v>
      </c>
      <c r="M52" s="13">
        <v>97323.3</v>
      </c>
      <c r="N52" s="13">
        <v>117201.1</v>
      </c>
      <c r="O52" s="13">
        <v>125950.2</v>
      </c>
      <c r="P52" s="13">
        <v>143396.1</v>
      </c>
      <c r="Q52" s="14">
        <v>171689.5</v>
      </c>
      <c r="R52" s="15">
        <v>170906.45</v>
      </c>
      <c r="S52" s="13">
        <v>181825.65000000002</v>
      </c>
      <c r="T52" s="13">
        <v>196902.39999999999</v>
      </c>
      <c r="U52" s="13">
        <v>207642.6</v>
      </c>
      <c r="V52" s="13">
        <v>202563.20000000001</v>
      </c>
      <c r="W52" s="13">
        <v>231027.8</v>
      </c>
      <c r="X52" s="13">
        <v>256311.7</v>
      </c>
      <c r="Y52" s="13">
        <v>308621.40000000002</v>
      </c>
      <c r="Z52" s="14">
        <v>354721.8</v>
      </c>
    </row>
    <row r="53" spans="1:26" x14ac:dyDescent="0.2">
      <c r="A53" s="29" t="s">
        <v>56</v>
      </c>
      <c r="B53" s="13">
        <v>17553.400000000001</v>
      </c>
      <c r="C53" s="13">
        <v>22089.5</v>
      </c>
      <c r="D53" s="13">
        <v>27508</v>
      </c>
      <c r="E53" s="13">
        <v>33244</v>
      </c>
      <c r="F53" s="13">
        <v>38334.9</v>
      </c>
      <c r="G53" s="13">
        <v>44267</v>
      </c>
      <c r="H53" s="13">
        <v>57974.2</v>
      </c>
      <c r="I53" s="13">
        <v>77048.800000000003</v>
      </c>
      <c r="J53" s="13">
        <v>94058.3</v>
      </c>
      <c r="K53" s="13">
        <v>90862.399999999994</v>
      </c>
      <c r="L53" s="13">
        <v>105343.8</v>
      </c>
      <c r="M53" s="13">
        <v>119955.2</v>
      </c>
      <c r="N53" s="13">
        <v>134315.6</v>
      </c>
      <c r="O53" s="13">
        <v>148705.70000000001</v>
      </c>
      <c r="P53" s="13">
        <v>173872.7</v>
      </c>
      <c r="Q53" s="14">
        <v>180352.3</v>
      </c>
      <c r="R53" s="15">
        <v>223343.6</v>
      </c>
      <c r="S53" s="13">
        <v>239357</v>
      </c>
      <c r="T53" s="13">
        <v>249699</v>
      </c>
      <c r="U53" s="13">
        <v>266880.8</v>
      </c>
      <c r="V53" s="13">
        <v>270613.2</v>
      </c>
      <c r="W53" s="13">
        <v>308807.09999999998</v>
      </c>
      <c r="X53" s="13">
        <v>342485.9</v>
      </c>
      <c r="Y53" s="13">
        <v>400685.6</v>
      </c>
      <c r="Z53" s="14">
        <v>476784.2</v>
      </c>
    </row>
    <row r="54" spans="1:26" x14ac:dyDescent="0.2">
      <c r="A54" s="29" t="s">
        <v>57</v>
      </c>
      <c r="B54" s="13">
        <v>186154.4</v>
      </c>
      <c r="C54" s="13">
        <v>213740</v>
      </c>
      <c r="D54" s="13">
        <v>250596</v>
      </c>
      <c r="E54" s="13">
        <v>305086.09999999998</v>
      </c>
      <c r="F54" s="13">
        <v>391116</v>
      </c>
      <c r="G54" s="13">
        <v>482759.2</v>
      </c>
      <c r="H54" s="13">
        <v>605911.5</v>
      </c>
      <c r="I54" s="13">
        <v>757401.4</v>
      </c>
      <c r="J54" s="13">
        <v>926056.7</v>
      </c>
      <c r="K54" s="13">
        <v>885064</v>
      </c>
      <c r="L54" s="13">
        <v>1001622.8</v>
      </c>
      <c r="M54" s="13">
        <v>1305947</v>
      </c>
      <c r="N54" s="13">
        <v>1437001</v>
      </c>
      <c r="O54" s="13">
        <v>1551472.1</v>
      </c>
      <c r="P54" s="13">
        <v>1661413.8</v>
      </c>
      <c r="Q54" s="14">
        <v>1867258.7</v>
      </c>
      <c r="R54" s="15">
        <v>2061445.2</v>
      </c>
      <c r="S54" s="13">
        <v>2311809.5</v>
      </c>
      <c r="T54" s="13">
        <v>2675830.1</v>
      </c>
      <c r="U54" s="13">
        <v>2865585.6</v>
      </c>
      <c r="V54" s="13">
        <v>2695683.8</v>
      </c>
      <c r="W54" s="13">
        <v>3605891</v>
      </c>
      <c r="X54" s="13">
        <v>4211531.5</v>
      </c>
      <c r="Y54" s="13">
        <v>4695834</v>
      </c>
      <c r="Z54" s="14">
        <v>5462757.7000000002</v>
      </c>
    </row>
    <row r="55" spans="1:26" x14ac:dyDescent="0.2">
      <c r="A55" s="29" t="s">
        <v>58</v>
      </c>
      <c r="B55" s="13">
        <v>53307.4</v>
      </c>
      <c r="C55" s="13">
        <v>65551.399999999994</v>
      </c>
      <c r="D55" s="13">
        <v>78346.3</v>
      </c>
      <c r="E55" s="13">
        <v>89034.5</v>
      </c>
      <c r="F55" s="13">
        <v>100833.1</v>
      </c>
      <c r="G55" s="13">
        <v>139995.29999999999</v>
      </c>
      <c r="H55" s="13">
        <v>164848.5</v>
      </c>
      <c r="I55" s="13">
        <v>205647.4</v>
      </c>
      <c r="J55" s="13">
        <v>243135.5</v>
      </c>
      <c r="K55" s="13">
        <v>230938.3</v>
      </c>
      <c r="L55" s="13">
        <v>274578.09999999998</v>
      </c>
      <c r="M55" s="13">
        <v>335984</v>
      </c>
      <c r="N55" s="13">
        <v>372782.7</v>
      </c>
      <c r="O55" s="13">
        <v>405126.40000000002</v>
      </c>
      <c r="P55" s="13">
        <v>450548.9</v>
      </c>
      <c r="Q55" s="14">
        <v>517999.8</v>
      </c>
      <c r="R55" s="15">
        <v>570500.1</v>
      </c>
      <c r="S55" s="13">
        <v>604624.9</v>
      </c>
      <c r="T55" s="13">
        <v>694655.9</v>
      </c>
      <c r="U55" s="13">
        <v>738270.6</v>
      </c>
      <c r="V55" s="13">
        <v>699288.9</v>
      </c>
      <c r="W55" s="13">
        <v>882328.1</v>
      </c>
      <c r="X55" s="13">
        <v>978891.5</v>
      </c>
      <c r="Y55" s="13">
        <v>1121022.6000000001</v>
      </c>
      <c r="Z55" s="14">
        <v>1401543.2</v>
      </c>
    </row>
    <row r="56" spans="1:26" x14ac:dyDescent="0.2">
      <c r="A56" s="29" t="s">
        <v>59</v>
      </c>
      <c r="B56" s="13">
        <v>22995.1</v>
      </c>
      <c r="C56" s="13">
        <v>30778.5</v>
      </c>
      <c r="D56" s="13">
        <v>37180.6</v>
      </c>
      <c r="E56" s="13">
        <v>45133.1</v>
      </c>
      <c r="F56" s="13">
        <v>59573.8</v>
      </c>
      <c r="G56" s="13">
        <v>69391.600000000006</v>
      </c>
      <c r="H56" s="13">
        <v>93172</v>
      </c>
      <c r="I56" s="13">
        <v>123453.3</v>
      </c>
      <c r="J56" s="13">
        <v>155032.29999999999</v>
      </c>
      <c r="K56" s="13">
        <v>139909.5</v>
      </c>
      <c r="L56" s="13">
        <v>157704.6</v>
      </c>
      <c r="M56" s="13">
        <v>188785.7</v>
      </c>
      <c r="N56" s="13">
        <v>217821.1</v>
      </c>
      <c r="O56" s="13">
        <v>223147.9</v>
      </c>
      <c r="P56" s="13">
        <v>237447.19999999998</v>
      </c>
      <c r="Q56" s="14">
        <v>251307</v>
      </c>
      <c r="R56" s="15">
        <v>284994.09999999998</v>
      </c>
      <c r="S56" s="13">
        <v>303521.5</v>
      </c>
      <c r="T56" s="13">
        <v>327614.40000000002</v>
      </c>
      <c r="U56" s="13">
        <v>350969.59999999998</v>
      </c>
      <c r="V56" s="13">
        <v>359488.5</v>
      </c>
      <c r="W56" s="13">
        <v>414586.8</v>
      </c>
      <c r="X56" s="13">
        <v>501878.9</v>
      </c>
      <c r="Y56" s="13">
        <v>614998.80000000005</v>
      </c>
      <c r="Z56" s="14">
        <v>705601.8</v>
      </c>
    </row>
    <row r="57" spans="1:26" ht="34" x14ac:dyDescent="0.2">
      <c r="A57" s="19" t="s">
        <v>60</v>
      </c>
      <c r="B57" s="13">
        <v>124142.2</v>
      </c>
      <c r="C57" s="13">
        <v>166803.4</v>
      </c>
      <c r="D57" s="13">
        <v>178091</v>
      </c>
      <c r="E57" s="13">
        <v>209275.7</v>
      </c>
      <c r="F57" s="13">
        <v>266325.90000000002</v>
      </c>
      <c r="G57" s="13">
        <v>327273.3</v>
      </c>
      <c r="H57" s="13">
        <v>383770.1</v>
      </c>
      <c r="I57" s="13">
        <v>477794.2</v>
      </c>
      <c r="J57" s="13">
        <v>607362.69999999995</v>
      </c>
      <c r="K57" s="13">
        <v>539831.5</v>
      </c>
      <c r="L57" s="13">
        <v>623116.80000000005</v>
      </c>
      <c r="M57" s="13">
        <v>840101.1</v>
      </c>
      <c r="N57" s="13">
        <v>860342.7</v>
      </c>
      <c r="O57" s="13">
        <v>880264.4</v>
      </c>
      <c r="P57" s="13">
        <v>974192.9</v>
      </c>
      <c r="Q57" s="14">
        <v>1063780.3</v>
      </c>
      <c r="R57" s="15">
        <v>1148146.2</v>
      </c>
      <c r="S57" s="13">
        <v>1272960.3</v>
      </c>
      <c r="T57" s="13">
        <v>1450090.9</v>
      </c>
      <c r="U57" s="13">
        <v>1523262</v>
      </c>
      <c r="V57" s="13">
        <v>1412178</v>
      </c>
      <c r="W57" s="13">
        <v>1793105.1</v>
      </c>
      <c r="X57" s="13">
        <v>2019729.7999999998</v>
      </c>
      <c r="Y57" s="13">
        <v>2233743.6</v>
      </c>
      <c r="Z57" s="14">
        <v>2603970.6</v>
      </c>
    </row>
    <row r="58" spans="1:26" ht="34" x14ac:dyDescent="0.2">
      <c r="A58" s="19" t="s">
        <v>61</v>
      </c>
      <c r="B58" s="13">
        <v>35795.4</v>
      </c>
      <c r="C58" s="13">
        <v>41699</v>
      </c>
      <c r="D58" s="13">
        <v>49974.2</v>
      </c>
      <c r="E58" s="13">
        <v>57795.8</v>
      </c>
      <c r="F58" s="13">
        <v>70706.2</v>
      </c>
      <c r="G58" s="13">
        <v>79800.600000000006</v>
      </c>
      <c r="H58" s="13">
        <v>97047.1</v>
      </c>
      <c r="I58" s="13">
        <v>118154.9</v>
      </c>
      <c r="J58" s="13">
        <v>151116.70000000001</v>
      </c>
      <c r="K58" s="13">
        <v>146321.29999999999</v>
      </c>
      <c r="L58" s="13">
        <v>172352</v>
      </c>
      <c r="M58" s="13">
        <v>195269.5</v>
      </c>
      <c r="N58" s="13">
        <v>208505.4</v>
      </c>
      <c r="O58" s="13">
        <v>224152.3</v>
      </c>
      <c r="P58" s="13">
        <v>254089.4</v>
      </c>
      <c r="Q58" s="14">
        <v>282191</v>
      </c>
      <c r="R58" s="15">
        <v>313614.85000000003</v>
      </c>
      <c r="S58" s="13">
        <v>341649.45</v>
      </c>
      <c r="T58" s="13">
        <v>364248.2</v>
      </c>
      <c r="U58" s="13">
        <v>381162.4</v>
      </c>
      <c r="V58" s="13">
        <v>407678</v>
      </c>
      <c r="W58" s="13">
        <v>499696.7</v>
      </c>
      <c r="X58" s="13">
        <v>556378.30000000005</v>
      </c>
      <c r="Y58" s="13">
        <v>611244.9</v>
      </c>
      <c r="Z58" s="14">
        <v>714616.3</v>
      </c>
    </row>
    <row r="59" spans="1:26" ht="51" x14ac:dyDescent="0.2">
      <c r="A59" s="19" t="s">
        <v>62</v>
      </c>
      <c r="B59" s="13">
        <v>105055.9</v>
      </c>
      <c r="C59" s="13">
        <v>149322.6</v>
      </c>
      <c r="D59" s="13">
        <v>170826.5</v>
      </c>
      <c r="E59" s="13">
        <v>206926</v>
      </c>
      <c r="F59" s="13">
        <v>241230.4</v>
      </c>
      <c r="G59" s="13">
        <v>299723.7</v>
      </c>
      <c r="H59" s="13">
        <v>376180.3</v>
      </c>
      <c r="I59" s="13">
        <v>473307.4</v>
      </c>
      <c r="J59" s="13">
        <v>588790.80000000005</v>
      </c>
      <c r="K59" s="13">
        <v>547223</v>
      </c>
      <c r="L59" s="13">
        <v>652805.9</v>
      </c>
      <c r="M59" s="13">
        <v>770774</v>
      </c>
      <c r="N59" s="13">
        <v>842195.5</v>
      </c>
      <c r="O59" s="13">
        <v>925182</v>
      </c>
      <c r="P59" s="13">
        <v>1009460.1</v>
      </c>
      <c r="Q59" s="14">
        <v>1104643.2</v>
      </c>
      <c r="R59" s="15">
        <v>1285200.8999999999</v>
      </c>
      <c r="S59" s="13">
        <v>1441531.3</v>
      </c>
      <c r="T59" s="13">
        <v>1557168.1</v>
      </c>
      <c r="U59" s="13">
        <v>1674498.5</v>
      </c>
      <c r="V59" s="13">
        <v>1663461.5</v>
      </c>
      <c r="W59" s="13">
        <v>1995910.3</v>
      </c>
      <c r="X59" s="13">
        <v>2333654.7000000002</v>
      </c>
      <c r="Y59" s="13">
        <v>2769904.3</v>
      </c>
      <c r="Z59" s="14">
        <v>3080113.4</v>
      </c>
    </row>
    <row r="60" spans="1:26" ht="34" x14ac:dyDescent="0.2">
      <c r="A60" s="19" t="s">
        <v>63</v>
      </c>
      <c r="B60" s="13">
        <v>76343.3</v>
      </c>
      <c r="C60" s="13">
        <v>85168.3</v>
      </c>
      <c r="D60" s="13">
        <v>94182.5</v>
      </c>
      <c r="E60" s="13">
        <v>115824.6</v>
      </c>
      <c r="F60" s="13">
        <v>169876.7</v>
      </c>
      <c r="G60" s="13">
        <v>213138.2</v>
      </c>
      <c r="H60" s="13">
        <v>302808.40000000002</v>
      </c>
      <c r="I60" s="13">
        <v>370880.9</v>
      </c>
      <c r="J60" s="13">
        <v>430023.1</v>
      </c>
      <c r="K60" s="13">
        <v>413395.5</v>
      </c>
      <c r="L60" s="13">
        <v>458145.4</v>
      </c>
      <c r="M60" s="13">
        <v>553320.9</v>
      </c>
      <c r="N60" s="13">
        <v>628563.6</v>
      </c>
      <c r="O60" s="13">
        <v>717014.79999999993</v>
      </c>
      <c r="P60" s="13">
        <v>731277.7</v>
      </c>
      <c r="Q60" s="14">
        <v>774962.1</v>
      </c>
      <c r="R60" s="15">
        <v>815152.7</v>
      </c>
      <c r="S60" s="13">
        <v>887698.5</v>
      </c>
      <c r="T60" s="13">
        <v>1075584</v>
      </c>
      <c r="U60" s="13">
        <v>1124819.1000000001</v>
      </c>
      <c r="V60" s="13">
        <v>1065112.8999999999</v>
      </c>
      <c r="W60" s="13">
        <v>1428176</v>
      </c>
      <c r="X60" s="13">
        <v>1580819.1</v>
      </c>
      <c r="Y60" s="13">
        <v>1787384.5</v>
      </c>
      <c r="Z60" s="14">
        <v>2067641</v>
      </c>
    </row>
    <row r="61" spans="1:26" ht="34" x14ac:dyDescent="0.2">
      <c r="A61" s="19" t="s">
        <v>64</v>
      </c>
      <c r="B61" s="13">
        <v>25218.7</v>
      </c>
      <c r="C61" s="13">
        <v>33262.6</v>
      </c>
      <c r="D61" s="13">
        <v>41623.4</v>
      </c>
      <c r="E61" s="13">
        <v>48111.5</v>
      </c>
      <c r="F61" s="13">
        <v>59711.7</v>
      </c>
      <c r="G61" s="13">
        <v>74362.7</v>
      </c>
      <c r="H61" s="13">
        <v>88805</v>
      </c>
      <c r="I61" s="13">
        <v>119104</v>
      </c>
      <c r="J61" s="13">
        <v>147853.20000000001</v>
      </c>
      <c r="K61" s="13">
        <v>147185.1</v>
      </c>
      <c r="L61" s="13">
        <v>172166.7</v>
      </c>
      <c r="M61" s="13">
        <v>213401.2</v>
      </c>
      <c r="N61" s="13">
        <v>239962.5</v>
      </c>
      <c r="O61" s="13">
        <v>270436.8</v>
      </c>
      <c r="P61" s="13">
        <v>295238.7</v>
      </c>
      <c r="Q61" s="14">
        <v>343328.6</v>
      </c>
      <c r="R61" s="15">
        <v>358349.2</v>
      </c>
      <c r="S61" s="13">
        <v>384256.2</v>
      </c>
      <c r="T61" s="13">
        <v>420623.2</v>
      </c>
      <c r="U61" s="13">
        <v>457837.5</v>
      </c>
      <c r="V61" s="13">
        <v>494285.4</v>
      </c>
      <c r="W61" s="13">
        <v>550271.9</v>
      </c>
      <c r="X61" s="13">
        <v>596907.30000000005</v>
      </c>
      <c r="Y61" s="13">
        <v>666644.19999999995</v>
      </c>
      <c r="Z61" s="14">
        <v>803046.1</v>
      </c>
    </row>
    <row r="62" spans="1:26" ht="34" x14ac:dyDescent="0.2">
      <c r="A62" s="19" t="s">
        <v>65</v>
      </c>
      <c r="B62" s="13">
        <v>140407.4</v>
      </c>
      <c r="C62" s="13">
        <v>180049.3</v>
      </c>
      <c r="D62" s="13">
        <v>206320.2</v>
      </c>
      <c r="E62" s="13">
        <v>256554.6</v>
      </c>
      <c r="F62" s="13">
        <v>327118.5</v>
      </c>
      <c r="G62" s="13">
        <v>401812.2</v>
      </c>
      <c r="H62" s="13">
        <v>487713.5</v>
      </c>
      <c r="I62" s="13">
        <v>584968.6</v>
      </c>
      <c r="J62" s="13">
        <v>699295.6</v>
      </c>
      <c r="K62" s="13">
        <v>583999.9</v>
      </c>
      <c r="L62" s="13">
        <v>695651.2</v>
      </c>
      <c r="M62" s="13">
        <v>834149.3</v>
      </c>
      <c r="N62" s="13">
        <v>937434.5</v>
      </c>
      <c r="O62" s="13">
        <v>1048545.8</v>
      </c>
      <c r="P62" s="13">
        <v>1149147.8</v>
      </c>
      <c r="Q62" s="14">
        <v>1264910.3</v>
      </c>
      <c r="R62" s="15">
        <v>1366826.7</v>
      </c>
      <c r="S62" s="13">
        <v>1502177.1</v>
      </c>
      <c r="T62" s="13">
        <v>1684170</v>
      </c>
      <c r="U62" s="13">
        <v>1750702.9</v>
      </c>
      <c r="V62" s="13">
        <v>1691824.8</v>
      </c>
      <c r="W62" s="13">
        <v>2225293.2999999998</v>
      </c>
      <c r="X62" s="13">
        <v>2432085.7000000002</v>
      </c>
      <c r="Y62" s="13">
        <v>2735722.4</v>
      </c>
      <c r="Z62" s="14">
        <v>3316305.8</v>
      </c>
    </row>
    <row r="63" spans="1:26" x14ac:dyDescent="0.2">
      <c r="A63" s="29" t="s">
        <v>66</v>
      </c>
      <c r="B63" s="13">
        <v>63068.2</v>
      </c>
      <c r="C63" s="13">
        <v>83665.7</v>
      </c>
      <c r="D63" s="13">
        <v>97326.399999999994</v>
      </c>
      <c r="E63" s="13">
        <v>119909</v>
      </c>
      <c r="F63" s="13">
        <v>151636.9</v>
      </c>
      <c r="G63" s="13">
        <v>170930.5</v>
      </c>
      <c r="H63" s="13">
        <v>204291.20000000001</v>
      </c>
      <c r="I63" s="13">
        <v>252867.20000000001</v>
      </c>
      <c r="J63" s="13">
        <v>321747.20000000001</v>
      </c>
      <c r="K63" s="13">
        <v>326370.40000000002</v>
      </c>
      <c r="L63" s="13">
        <v>376169.4</v>
      </c>
      <c r="M63" s="13">
        <v>431028</v>
      </c>
      <c r="N63" s="13">
        <v>478275.8</v>
      </c>
      <c r="O63" s="13">
        <v>526178.9</v>
      </c>
      <c r="P63" s="13">
        <v>566646.1</v>
      </c>
      <c r="Q63" s="14">
        <v>625176.9</v>
      </c>
      <c r="R63" s="15">
        <v>701992.8</v>
      </c>
      <c r="S63" s="13">
        <v>749595.2</v>
      </c>
      <c r="T63" s="13">
        <v>795362</v>
      </c>
      <c r="U63" s="13">
        <v>830922.4</v>
      </c>
      <c r="V63" s="13">
        <v>880734.5</v>
      </c>
      <c r="W63" s="13">
        <v>1034851.3</v>
      </c>
      <c r="X63" s="13">
        <v>1197839.6000000001</v>
      </c>
      <c r="Y63" s="13">
        <v>1374183.9</v>
      </c>
      <c r="Z63" s="14">
        <v>1535174.4</v>
      </c>
    </row>
    <row r="64" spans="1:26" x14ac:dyDescent="0.2">
      <c r="A64" s="29" t="s">
        <v>67</v>
      </c>
      <c r="B64" s="13">
        <v>30415</v>
      </c>
      <c r="C64" s="13">
        <v>38563.599999999999</v>
      </c>
      <c r="D64" s="13">
        <v>45677</v>
      </c>
      <c r="E64" s="13">
        <v>55184.3</v>
      </c>
      <c r="F64" s="13">
        <v>67501</v>
      </c>
      <c r="G64" s="13">
        <v>80584.399999999994</v>
      </c>
      <c r="H64" s="13">
        <v>101950.3</v>
      </c>
      <c r="I64" s="13">
        <v>124676.2</v>
      </c>
      <c r="J64" s="13">
        <v>150680.29999999999</v>
      </c>
      <c r="K64" s="13">
        <v>154247.4</v>
      </c>
      <c r="L64" s="13">
        <v>178235.4</v>
      </c>
      <c r="M64" s="13">
        <v>223672.7</v>
      </c>
      <c r="N64" s="13">
        <v>240556.1</v>
      </c>
      <c r="O64" s="13">
        <v>265288.7</v>
      </c>
      <c r="P64" s="13">
        <v>278808.2</v>
      </c>
      <c r="Q64" s="14">
        <v>304479.09999999998</v>
      </c>
      <c r="R64" s="15">
        <v>367092.9</v>
      </c>
      <c r="S64" s="13">
        <v>384708.9</v>
      </c>
      <c r="T64" s="13">
        <v>398336.2</v>
      </c>
      <c r="U64" s="13">
        <v>437775.1</v>
      </c>
      <c r="V64" s="13">
        <v>452125</v>
      </c>
      <c r="W64" s="13">
        <v>522028.79999999999</v>
      </c>
      <c r="X64" s="13">
        <v>598692.30000000005</v>
      </c>
      <c r="Y64" s="13">
        <v>682950.5</v>
      </c>
      <c r="Z64" s="14">
        <v>782206.9</v>
      </c>
    </row>
    <row r="65" spans="1:26" ht="68" x14ac:dyDescent="0.2">
      <c r="A65" s="2" t="s">
        <v>68</v>
      </c>
      <c r="B65" s="7">
        <f>SUM(B66:B71)-B69-B70</f>
        <v>866133.39999999991</v>
      </c>
      <c r="C65" s="7">
        <f>SUM(C66:C71)-C69-C70</f>
        <v>1120819.7999999998</v>
      </c>
      <c r="D65" s="7">
        <f>SUM(D66:D71)-D69-D70</f>
        <v>1335976</v>
      </c>
      <c r="E65" s="27">
        <f>SUM(E66:E71)-E69-E70</f>
        <v>1659322.1</v>
      </c>
      <c r="F65" s="27">
        <f>SUM(F66:F71)-F69-F70</f>
        <v>2234752.9999999995</v>
      </c>
      <c r="G65" s="27">
        <f>SUM(G66:G71)-G69-G70</f>
        <v>3091362.9000000008</v>
      </c>
      <c r="H65" s="27">
        <f>SUM(H66:H71)-H69-H70</f>
        <v>3720616.2</v>
      </c>
      <c r="I65" s="27">
        <f>SUM(I66:I71)-I69-I70</f>
        <v>4236325.3</v>
      </c>
      <c r="J65" s="27">
        <f>SUM(J66:J71)-J69-J70</f>
        <v>4815668</v>
      </c>
      <c r="K65" s="27">
        <f>SUM(K66:K71)-K69-K70</f>
        <v>4360451.1999999993</v>
      </c>
      <c r="L65" s="27">
        <f>SUM(L66:L71)-L69-L70</f>
        <v>5118918.4000000004</v>
      </c>
      <c r="M65" s="27" t="e">
        <f>SUM(M66:M71)-M69-M70-#REF!</f>
        <v>#REF!</v>
      </c>
      <c r="N65" s="27" t="e">
        <f>SUM(N66:N71)-N69-N70-#REF!</f>
        <v>#REF!</v>
      </c>
      <c r="O65" s="27" t="e">
        <f>SUM(O66:O71)-O69-O70-#REF!</f>
        <v>#REF!</v>
      </c>
      <c r="P65" s="27" t="e">
        <f>SUM(P66:P71)-P69-P70-#REF!</f>
        <v>#REF!</v>
      </c>
      <c r="Q65" s="7" t="e">
        <f>SUM(Q66:Q71)-Q69-Q70-#REF!</f>
        <v>#REF!</v>
      </c>
      <c r="R65" s="27">
        <v>9783407.5</v>
      </c>
      <c r="S65" s="27">
        <v>11182524</v>
      </c>
      <c r="T65" s="27">
        <v>13241721.699999999</v>
      </c>
      <c r="U65" s="7">
        <v>13480716.5</v>
      </c>
      <c r="V65" s="7">
        <v>11849635.799999999</v>
      </c>
      <c r="W65" s="27">
        <v>17131692.699999999</v>
      </c>
      <c r="X65" s="27">
        <v>20107884.200000003</v>
      </c>
      <c r="Y65" s="27">
        <v>23198550.700000003</v>
      </c>
      <c r="Z65" s="7">
        <v>26643190.5</v>
      </c>
    </row>
    <row r="66" spans="1:26" x14ac:dyDescent="0.2">
      <c r="A66" s="30" t="s">
        <v>69</v>
      </c>
      <c r="B66" s="13">
        <v>18705.2</v>
      </c>
      <c r="C66" s="13">
        <v>25379.599999999999</v>
      </c>
      <c r="D66" s="13">
        <v>29940.799999999999</v>
      </c>
      <c r="E66" s="13">
        <v>37046.199999999997</v>
      </c>
      <c r="F66" s="13">
        <v>42470.6</v>
      </c>
      <c r="G66" s="13">
        <v>50245.8</v>
      </c>
      <c r="H66" s="13">
        <v>68434.5</v>
      </c>
      <c r="I66" s="13">
        <v>81076</v>
      </c>
      <c r="J66" s="13">
        <v>106223.2</v>
      </c>
      <c r="K66" s="13">
        <v>107914.5</v>
      </c>
      <c r="L66" s="13">
        <v>117879.5</v>
      </c>
      <c r="M66" s="13">
        <v>136325.1</v>
      </c>
      <c r="N66" s="13">
        <v>146045.5</v>
      </c>
      <c r="O66" s="13">
        <v>167037.9</v>
      </c>
      <c r="P66" s="13">
        <v>170310.3</v>
      </c>
      <c r="Q66" s="14">
        <v>179436.3</v>
      </c>
      <c r="R66" s="15">
        <v>202177.3</v>
      </c>
      <c r="S66" s="13">
        <v>215359.3</v>
      </c>
      <c r="T66" s="13">
        <v>221045.2</v>
      </c>
      <c r="U66" s="13">
        <v>242285.6</v>
      </c>
      <c r="V66" s="13">
        <v>245253.1</v>
      </c>
      <c r="W66" s="13">
        <v>276948.3</v>
      </c>
      <c r="X66" s="13">
        <v>340017.7</v>
      </c>
      <c r="Y66" s="13">
        <v>379788.4</v>
      </c>
      <c r="Z66" s="14">
        <v>460766.4</v>
      </c>
    </row>
    <row r="67" spans="1:26" x14ac:dyDescent="0.2">
      <c r="A67" s="30" t="s">
        <v>70</v>
      </c>
      <c r="B67" s="13">
        <v>156077</v>
      </c>
      <c r="C67" s="13">
        <v>199859.1</v>
      </c>
      <c r="D67" s="13">
        <v>234866.4</v>
      </c>
      <c r="E67" s="13">
        <v>284576.3</v>
      </c>
      <c r="F67" s="13">
        <v>364368.8</v>
      </c>
      <c r="G67" s="13">
        <v>475575.5</v>
      </c>
      <c r="H67" s="13">
        <v>653908.30000000005</v>
      </c>
      <c r="I67" s="13">
        <v>820792.5</v>
      </c>
      <c r="J67" s="13">
        <v>923550.8</v>
      </c>
      <c r="K67" s="13">
        <v>825267.4</v>
      </c>
      <c r="L67" s="13">
        <v>1046600.1</v>
      </c>
      <c r="M67" s="13">
        <v>1291019.1000000001</v>
      </c>
      <c r="N67" s="13">
        <v>1484879</v>
      </c>
      <c r="O67" s="13">
        <v>1568655.2</v>
      </c>
      <c r="P67" s="13">
        <v>1659783.9</v>
      </c>
      <c r="Q67" s="14">
        <v>1822835</v>
      </c>
      <c r="R67" s="15">
        <v>2112962.6</v>
      </c>
      <c r="S67" s="13">
        <v>2343825.4</v>
      </c>
      <c r="T67" s="13">
        <v>2512258.7999999998</v>
      </c>
      <c r="U67" s="13">
        <v>2626614.1</v>
      </c>
      <c r="V67" s="13">
        <v>2606245.5</v>
      </c>
      <c r="W67" s="13">
        <v>3180669.4</v>
      </c>
      <c r="X67" s="13">
        <v>3529687.5</v>
      </c>
      <c r="Y67" s="13">
        <v>4252209.2</v>
      </c>
      <c r="Z67" s="14">
        <v>4746978.9000000004</v>
      </c>
    </row>
    <row r="68" spans="1:26" x14ac:dyDescent="0.2">
      <c r="A68" s="30" t="s">
        <v>71</v>
      </c>
      <c r="B68" s="13">
        <v>570790.19999999995</v>
      </c>
      <c r="C68" s="13">
        <v>753119.2</v>
      </c>
      <c r="D68" s="13">
        <v>898722.4</v>
      </c>
      <c r="E68" s="13">
        <v>1117514.3999999999</v>
      </c>
      <c r="F68" s="13">
        <v>1536733.7</v>
      </c>
      <c r="G68" s="13">
        <v>2215584.4</v>
      </c>
      <c r="H68" s="13">
        <v>2551355.4</v>
      </c>
      <c r="I68" s="13">
        <v>2758813.1</v>
      </c>
      <c r="J68" s="13">
        <v>3121401.3</v>
      </c>
      <c r="K68" s="13">
        <v>2870284</v>
      </c>
      <c r="L68" s="13">
        <v>3301573.3</v>
      </c>
      <c r="M68" s="13">
        <v>4112596</v>
      </c>
      <c r="N68" s="13">
        <v>4625467.5</v>
      </c>
      <c r="O68" s="13">
        <v>4950207.4000000004</v>
      </c>
      <c r="P68" s="13">
        <v>5295348.5</v>
      </c>
      <c r="Q68" s="14">
        <v>5851557.7999999998</v>
      </c>
      <c r="R68" s="15">
        <v>6133567.5</v>
      </c>
      <c r="S68" s="13">
        <v>7170550.7999999998</v>
      </c>
      <c r="T68" s="13">
        <v>8946234.6999999993</v>
      </c>
      <c r="U68" s="13">
        <v>9023346.9000000004</v>
      </c>
      <c r="V68" s="13">
        <v>7354336.2000000002</v>
      </c>
      <c r="W68" s="13">
        <v>11565380.800000001</v>
      </c>
      <c r="X68" s="13">
        <v>13971957</v>
      </c>
      <c r="Y68" s="13">
        <v>15941773.300000001</v>
      </c>
      <c r="Z68" s="14">
        <v>18483518.100000001</v>
      </c>
    </row>
    <row r="69" spans="1:26" ht="119" x14ac:dyDescent="0.2">
      <c r="A69" s="19" t="s">
        <v>72</v>
      </c>
      <c r="B69" s="13">
        <v>403822.2</v>
      </c>
      <c r="C69" s="13">
        <v>497981.4</v>
      </c>
      <c r="D69" s="13">
        <v>552483.5</v>
      </c>
      <c r="E69" s="13">
        <v>717219.7</v>
      </c>
      <c r="F69" s="13">
        <v>956196.5</v>
      </c>
      <c r="G69" s="13">
        <v>1399335.9</v>
      </c>
      <c r="H69" s="13">
        <v>1594097.1</v>
      </c>
      <c r="I69" s="13">
        <v>1728340.2</v>
      </c>
      <c r="J69" s="13">
        <v>1937159.1</v>
      </c>
      <c r="K69" s="13">
        <v>1778637.1</v>
      </c>
      <c r="L69" s="13">
        <v>1971870.5</v>
      </c>
      <c r="M69" s="13">
        <v>2440432.6</v>
      </c>
      <c r="N69" s="13">
        <v>2703558.8</v>
      </c>
      <c r="O69" s="13">
        <v>2729122.4</v>
      </c>
      <c r="P69" s="13">
        <v>2860498.9</v>
      </c>
      <c r="Q69" s="14">
        <v>3154058.7</v>
      </c>
      <c r="R69" s="15">
        <v>3137450.9</v>
      </c>
      <c r="S69" s="13">
        <v>3598451.8</v>
      </c>
      <c r="T69" s="13">
        <v>4542050</v>
      </c>
      <c r="U69" s="13">
        <v>4598277.9000000004</v>
      </c>
      <c r="V69" s="13">
        <v>3384383.7</v>
      </c>
      <c r="W69" s="13">
        <v>5739759.4000000004</v>
      </c>
      <c r="X69" s="13">
        <v>6917085.7999999998</v>
      </c>
      <c r="Y69" s="13">
        <v>8595765.9000000004</v>
      </c>
      <c r="Z69" s="14">
        <v>9933619.5999999996</v>
      </c>
    </row>
    <row r="70" spans="1:26" ht="85" x14ac:dyDescent="0.2">
      <c r="A70" s="19" t="s">
        <v>73</v>
      </c>
      <c r="B70" s="13">
        <v>117100.8</v>
      </c>
      <c r="C70" s="13">
        <v>184315.9</v>
      </c>
      <c r="D70" s="13">
        <v>262447.40000000002</v>
      </c>
      <c r="E70" s="13">
        <v>283181.2</v>
      </c>
      <c r="F70" s="13">
        <v>355718.40000000002</v>
      </c>
      <c r="G70" s="13">
        <v>441721.8</v>
      </c>
      <c r="H70" s="13">
        <v>546365.80000000005</v>
      </c>
      <c r="I70" s="13">
        <v>594678.6</v>
      </c>
      <c r="J70" s="13">
        <v>719397</v>
      </c>
      <c r="K70" s="13">
        <v>649640</v>
      </c>
      <c r="L70" s="13">
        <v>782214.9</v>
      </c>
      <c r="M70" s="13">
        <v>966110.4</v>
      </c>
      <c r="N70" s="13">
        <v>1191271.8999999999</v>
      </c>
      <c r="O70" s="13">
        <v>1375878.8</v>
      </c>
      <c r="P70" s="13">
        <v>1633382.2</v>
      </c>
      <c r="Q70" s="14">
        <v>1791825.6</v>
      </c>
      <c r="R70" s="15">
        <v>2028248.3</v>
      </c>
      <c r="S70" s="13">
        <v>2466225.7999999998</v>
      </c>
      <c r="T70" s="13">
        <v>3063060.2</v>
      </c>
      <c r="U70" s="13">
        <v>3169774.7</v>
      </c>
      <c r="V70" s="13">
        <v>2778661.1</v>
      </c>
      <c r="W70" s="13">
        <v>4230592.5999999996</v>
      </c>
      <c r="X70" s="13">
        <v>5314165.2</v>
      </c>
      <c r="Y70" s="13">
        <v>5402452</v>
      </c>
      <c r="Z70" s="14">
        <v>6336226</v>
      </c>
    </row>
    <row r="71" spans="1:26" x14ac:dyDescent="0.2">
      <c r="A71" s="30" t="s">
        <v>74</v>
      </c>
      <c r="B71" s="13">
        <v>120561</v>
      </c>
      <c r="C71" s="13">
        <v>142461.9</v>
      </c>
      <c r="D71" s="13">
        <v>172446.4</v>
      </c>
      <c r="E71" s="13">
        <v>220185.2</v>
      </c>
      <c r="F71" s="13">
        <v>291179.90000000002</v>
      </c>
      <c r="G71" s="13">
        <v>349957.2</v>
      </c>
      <c r="H71" s="13">
        <v>446918</v>
      </c>
      <c r="I71" s="13">
        <v>575643.69999999995</v>
      </c>
      <c r="J71" s="13">
        <v>664492.69999999995</v>
      </c>
      <c r="K71" s="13">
        <v>556985.30000000005</v>
      </c>
      <c r="L71" s="13">
        <v>652865.5</v>
      </c>
      <c r="M71" s="13">
        <v>774401</v>
      </c>
      <c r="N71" s="13">
        <v>841972.29999999993</v>
      </c>
      <c r="O71" s="13">
        <v>882339.6</v>
      </c>
      <c r="P71" s="13">
        <v>993900.6</v>
      </c>
      <c r="Q71" s="14">
        <v>1209242.7</v>
      </c>
      <c r="R71" s="15">
        <v>1334700.1000000001</v>
      </c>
      <c r="S71" s="13">
        <v>1452788.5</v>
      </c>
      <c r="T71" s="13">
        <v>1562183</v>
      </c>
      <c r="U71" s="13">
        <v>1588469.9</v>
      </c>
      <c r="V71" s="13">
        <v>1643801</v>
      </c>
      <c r="W71" s="13">
        <v>2108694.2000000002</v>
      </c>
      <c r="X71" s="13">
        <v>2266222</v>
      </c>
      <c r="Y71" s="13">
        <v>2624779.7999999998</v>
      </c>
      <c r="Z71" s="14">
        <v>2951927.1</v>
      </c>
    </row>
    <row r="72" spans="1:26" x14ac:dyDescent="0.2">
      <c r="A72" s="31" t="s">
        <v>75</v>
      </c>
      <c r="B72" s="7">
        <f t="shared" ref="B72:Q72" si="3">SUM(B73:B82)</f>
        <v>635471.69999999995</v>
      </c>
      <c r="C72" s="7">
        <f t="shared" si="3"/>
        <v>778927.89999999991</v>
      </c>
      <c r="D72" s="7">
        <f t="shared" si="3"/>
        <v>909296.39999999991</v>
      </c>
      <c r="E72" s="7">
        <f t="shared" si="3"/>
        <v>1104197.5</v>
      </c>
      <c r="F72" s="7">
        <f t="shared" si="3"/>
        <v>1506602.2</v>
      </c>
      <c r="G72" s="7">
        <f t="shared" si="3"/>
        <v>1806739.4000000001</v>
      </c>
      <c r="H72" s="7">
        <f t="shared" si="3"/>
        <v>2260554.6999999997</v>
      </c>
      <c r="I72" s="7">
        <f t="shared" si="3"/>
        <v>2772400.7</v>
      </c>
      <c r="J72" s="7">
        <f t="shared" si="3"/>
        <v>3177169.3</v>
      </c>
      <c r="K72" s="7">
        <f t="shared" si="3"/>
        <v>3121312.5</v>
      </c>
      <c r="L72" s="7">
        <f t="shared" si="3"/>
        <v>3831126.3</v>
      </c>
      <c r="M72" s="7">
        <f t="shared" si="3"/>
        <v>4445440.6999999993</v>
      </c>
      <c r="N72" s="7">
        <f t="shared" si="3"/>
        <v>4798101.9000000004</v>
      </c>
      <c r="O72" s="7">
        <f t="shared" si="3"/>
        <v>5134467.8999999994</v>
      </c>
      <c r="P72" s="7">
        <f t="shared" si="3"/>
        <v>5712688.6999999993</v>
      </c>
      <c r="Q72" s="7">
        <f t="shared" si="3"/>
        <v>6371103.1000000006</v>
      </c>
      <c r="R72" s="7">
        <v>6981227.8399999989</v>
      </c>
      <c r="S72" s="7">
        <v>7849445.9400000004</v>
      </c>
      <c r="T72" s="7">
        <v>8923766</v>
      </c>
      <c r="U72" s="7">
        <v>9319074.5</v>
      </c>
      <c r="V72" s="7">
        <v>9263801.7000000011</v>
      </c>
      <c r="W72" s="7">
        <v>11665560.200000001</v>
      </c>
      <c r="X72" s="7">
        <v>13180273.500000002</v>
      </c>
      <c r="Y72" s="7">
        <v>14366069</v>
      </c>
      <c r="Z72" s="7">
        <v>16292861.199999999</v>
      </c>
    </row>
    <row r="73" spans="1:26" x14ac:dyDescent="0.2">
      <c r="A73" s="30" t="s">
        <v>76</v>
      </c>
      <c r="B73" s="13">
        <v>2737.5</v>
      </c>
      <c r="C73" s="13">
        <v>4499.3999999999996</v>
      </c>
      <c r="D73" s="13">
        <v>5310.6</v>
      </c>
      <c r="E73" s="13">
        <v>6903.9</v>
      </c>
      <c r="F73" s="13">
        <v>8516.7000000000007</v>
      </c>
      <c r="G73" s="13">
        <v>8805.7999999999993</v>
      </c>
      <c r="H73" s="13">
        <v>11609.4</v>
      </c>
      <c r="I73" s="13">
        <v>15108.5</v>
      </c>
      <c r="J73" s="13">
        <v>18701</v>
      </c>
      <c r="K73" s="13">
        <v>19911.599999999999</v>
      </c>
      <c r="L73" s="13">
        <v>22393.7</v>
      </c>
      <c r="M73" s="13">
        <v>26380.799999999999</v>
      </c>
      <c r="N73" s="13">
        <v>30444.6</v>
      </c>
      <c r="O73" s="13">
        <v>33313.5</v>
      </c>
      <c r="P73" s="13">
        <v>39191.9</v>
      </c>
      <c r="Q73" s="14">
        <v>42165.7</v>
      </c>
      <c r="R73" s="15">
        <v>47435.7</v>
      </c>
      <c r="S73" s="13">
        <v>49604.4</v>
      </c>
      <c r="T73" s="13">
        <v>55335.5</v>
      </c>
      <c r="U73" s="13">
        <v>58227.5</v>
      </c>
      <c r="V73" s="13">
        <v>64079.6</v>
      </c>
      <c r="W73" s="13">
        <v>75763.100000000006</v>
      </c>
      <c r="X73" s="13">
        <v>90523.400000000009</v>
      </c>
      <c r="Y73" s="13">
        <v>108406.39999999999</v>
      </c>
      <c r="Z73" s="14">
        <v>131164.29999999999</v>
      </c>
    </row>
    <row r="74" spans="1:26" x14ac:dyDescent="0.2">
      <c r="A74" s="30" t="s">
        <v>77</v>
      </c>
      <c r="B74" s="13">
        <v>3594.1</v>
      </c>
      <c r="C74" s="13">
        <v>5197.2</v>
      </c>
      <c r="D74" s="13">
        <v>6847.4</v>
      </c>
      <c r="E74" s="13">
        <v>8121.2</v>
      </c>
      <c r="F74" s="13">
        <v>9838.5</v>
      </c>
      <c r="G74" s="13">
        <v>11662.5</v>
      </c>
      <c r="H74" s="13">
        <v>15146.8</v>
      </c>
      <c r="I74" s="13">
        <v>19384.2</v>
      </c>
      <c r="J74" s="13">
        <v>23870.5</v>
      </c>
      <c r="K74" s="13">
        <v>26921.9</v>
      </c>
      <c r="L74" s="13">
        <v>30772.799999999999</v>
      </c>
      <c r="M74" s="13">
        <v>33398.9</v>
      </c>
      <c r="N74" s="13">
        <v>37369.1</v>
      </c>
      <c r="O74" s="13">
        <v>41298.699999999997</v>
      </c>
      <c r="P74" s="13">
        <v>45947.9</v>
      </c>
      <c r="Q74" s="14">
        <v>47289.599999999999</v>
      </c>
      <c r="R74" s="15">
        <v>58002.9</v>
      </c>
      <c r="S74" s="13">
        <v>67130.899999999994</v>
      </c>
      <c r="T74" s="13">
        <v>75975</v>
      </c>
      <c r="U74" s="13">
        <v>81653.100000000006</v>
      </c>
      <c r="V74" s="13">
        <v>84674.2</v>
      </c>
      <c r="W74" s="13">
        <v>94017.5</v>
      </c>
      <c r="X74" s="13">
        <v>109849.4</v>
      </c>
      <c r="Y74" s="13">
        <v>125178.1</v>
      </c>
      <c r="Z74" s="14">
        <v>151887.6</v>
      </c>
    </row>
    <row r="75" spans="1:26" x14ac:dyDescent="0.2">
      <c r="A75" s="30" t="s">
        <v>78</v>
      </c>
      <c r="B75" s="13">
        <v>17418.099999999999</v>
      </c>
      <c r="C75" s="13">
        <v>20041</v>
      </c>
      <c r="D75" s="13">
        <v>25423.3</v>
      </c>
      <c r="E75" s="13">
        <v>28969.200000000001</v>
      </c>
      <c r="F75" s="13">
        <v>33102.9</v>
      </c>
      <c r="G75" s="13">
        <v>41727.5</v>
      </c>
      <c r="H75" s="13">
        <v>53689.3</v>
      </c>
      <c r="I75" s="13">
        <v>63722</v>
      </c>
      <c r="J75" s="13">
        <v>72308.800000000003</v>
      </c>
      <c r="K75" s="13">
        <v>81019.899999999994</v>
      </c>
      <c r="L75" s="13">
        <v>96039.8</v>
      </c>
      <c r="M75" s="13">
        <v>113088.1</v>
      </c>
      <c r="N75" s="13">
        <v>130638.5</v>
      </c>
      <c r="O75" s="13">
        <v>141850.5</v>
      </c>
      <c r="P75" s="13">
        <v>158372.79999999999</v>
      </c>
      <c r="Q75" s="14">
        <v>170413.1</v>
      </c>
      <c r="R75" s="15">
        <v>207790.3</v>
      </c>
      <c r="S75" s="13">
        <v>222588.5</v>
      </c>
      <c r="T75" s="13">
        <v>246924.9</v>
      </c>
      <c r="U75" s="13">
        <v>260647.7</v>
      </c>
      <c r="V75" s="13">
        <v>270684.5</v>
      </c>
      <c r="W75" s="13">
        <v>319632.2</v>
      </c>
      <c r="X75" s="13">
        <v>349324.1</v>
      </c>
      <c r="Y75" s="13">
        <v>380289.2</v>
      </c>
      <c r="Z75" s="14">
        <v>395129.9</v>
      </c>
    </row>
    <row r="76" spans="1:26" x14ac:dyDescent="0.2">
      <c r="A76" s="30" t="s">
        <v>79</v>
      </c>
      <c r="B76" s="13">
        <v>46736.800000000003</v>
      </c>
      <c r="C76" s="13">
        <v>61854.400000000001</v>
      </c>
      <c r="D76" s="13">
        <v>73107.399999999994</v>
      </c>
      <c r="E76" s="13">
        <v>88733.3</v>
      </c>
      <c r="F76" s="13">
        <v>114840.5</v>
      </c>
      <c r="G76" s="13">
        <v>135686.39999999999</v>
      </c>
      <c r="H76" s="13">
        <v>173810.5</v>
      </c>
      <c r="I76" s="13">
        <v>223563.4</v>
      </c>
      <c r="J76" s="13">
        <v>259343.1</v>
      </c>
      <c r="K76" s="13">
        <v>265613.3</v>
      </c>
      <c r="L76" s="13">
        <v>302900.7</v>
      </c>
      <c r="M76" s="13">
        <v>332117.8</v>
      </c>
      <c r="N76" s="13">
        <v>368995.2</v>
      </c>
      <c r="O76" s="13">
        <v>416110.3</v>
      </c>
      <c r="P76" s="13">
        <v>446023.8</v>
      </c>
      <c r="Q76" s="14">
        <v>487903.3</v>
      </c>
      <c r="R76" s="15">
        <v>532506.69999999995</v>
      </c>
      <c r="S76" s="13">
        <v>562664.4</v>
      </c>
      <c r="T76" s="13">
        <v>601585.30000000005</v>
      </c>
      <c r="U76" s="13">
        <v>650612.1</v>
      </c>
      <c r="V76" s="13">
        <v>687792.1</v>
      </c>
      <c r="W76" s="13">
        <v>893383.6</v>
      </c>
      <c r="X76" s="13">
        <v>950400</v>
      </c>
      <c r="Y76" s="13">
        <v>1056260.8999999999</v>
      </c>
      <c r="Z76" s="14">
        <v>1276036.1000000001</v>
      </c>
    </row>
    <row r="77" spans="1:26" x14ac:dyDescent="0.2">
      <c r="A77" s="30" t="s">
        <v>80</v>
      </c>
      <c r="B77" s="13">
        <v>214662.7</v>
      </c>
      <c r="C77" s="13">
        <v>239420</v>
      </c>
      <c r="D77" s="13">
        <v>230994.9</v>
      </c>
      <c r="E77" s="13">
        <v>272727</v>
      </c>
      <c r="F77" s="13">
        <v>365454.1</v>
      </c>
      <c r="G77" s="13">
        <v>439736.9</v>
      </c>
      <c r="H77" s="13">
        <v>585881.9</v>
      </c>
      <c r="I77" s="13">
        <v>734154.8</v>
      </c>
      <c r="J77" s="13">
        <v>737950.5</v>
      </c>
      <c r="K77" s="13">
        <v>749194.8</v>
      </c>
      <c r="L77" s="13">
        <v>1055525</v>
      </c>
      <c r="M77" s="13">
        <v>1170827.3</v>
      </c>
      <c r="N77" s="13">
        <v>1183228</v>
      </c>
      <c r="O77" s="13">
        <v>1256934.1000000001</v>
      </c>
      <c r="P77" s="13">
        <v>1410719.9</v>
      </c>
      <c r="Q77" s="14">
        <v>1667041.1</v>
      </c>
      <c r="R77" s="15">
        <v>1823378.44</v>
      </c>
      <c r="S77" s="13">
        <v>2008097.6400000001</v>
      </c>
      <c r="T77" s="13">
        <v>2408040.6</v>
      </c>
      <c r="U77" s="13">
        <v>2730677.7</v>
      </c>
      <c r="V77" s="13">
        <v>2761509.6</v>
      </c>
      <c r="W77" s="13">
        <v>3160017.1</v>
      </c>
      <c r="X77" s="13">
        <v>3344593.2</v>
      </c>
      <c r="Y77" s="13">
        <v>3746019.5</v>
      </c>
      <c r="Z77" s="14">
        <v>4327013.7</v>
      </c>
    </row>
    <row r="78" spans="1:26" x14ac:dyDescent="0.2">
      <c r="A78" s="30" t="s">
        <v>81</v>
      </c>
      <c r="B78" s="13">
        <v>103013.8</v>
      </c>
      <c r="C78" s="13">
        <v>120240</v>
      </c>
      <c r="D78" s="13">
        <v>140195.9</v>
      </c>
      <c r="E78" s="13">
        <v>167927.1</v>
      </c>
      <c r="F78" s="13">
        <v>213244.2</v>
      </c>
      <c r="G78" s="13">
        <v>258095.5</v>
      </c>
      <c r="H78" s="13">
        <v>330834.3</v>
      </c>
      <c r="I78" s="13">
        <v>402654.7</v>
      </c>
      <c r="J78" s="13">
        <v>438852.4</v>
      </c>
      <c r="K78" s="13">
        <v>458774.9</v>
      </c>
      <c r="L78" s="13">
        <v>546141</v>
      </c>
      <c r="M78" s="13">
        <v>634561.4</v>
      </c>
      <c r="N78" s="13">
        <v>737971.6</v>
      </c>
      <c r="O78" s="13">
        <v>805197.5</v>
      </c>
      <c r="P78" s="13">
        <v>916317.5</v>
      </c>
      <c r="Q78" s="14">
        <v>1001717.6</v>
      </c>
      <c r="R78" s="15">
        <v>1140745.1000000001</v>
      </c>
      <c r="S78" s="13">
        <v>1297987.3</v>
      </c>
      <c r="T78" s="13">
        <v>1491823.2</v>
      </c>
      <c r="U78" s="13">
        <v>1571461.6</v>
      </c>
      <c r="V78" s="13">
        <v>1526483.4</v>
      </c>
      <c r="W78" s="13">
        <v>2005855.4</v>
      </c>
      <c r="X78" s="13">
        <v>2373930.7000000002</v>
      </c>
      <c r="Y78" s="13">
        <v>2572171.7000000002</v>
      </c>
      <c r="Z78" s="14">
        <v>2987985.3</v>
      </c>
    </row>
    <row r="79" spans="1:26" x14ac:dyDescent="0.2">
      <c r="A79" s="30" t="s">
        <v>82</v>
      </c>
      <c r="B79" s="13">
        <v>88728.1</v>
      </c>
      <c r="C79" s="13">
        <v>113800.2</v>
      </c>
      <c r="D79" s="13">
        <v>136156.70000000001</v>
      </c>
      <c r="E79" s="13">
        <v>164903.1</v>
      </c>
      <c r="F79" s="13">
        <v>244462</v>
      </c>
      <c r="G79" s="13">
        <v>295378.40000000002</v>
      </c>
      <c r="H79" s="13">
        <v>342210.6</v>
      </c>
      <c r="I79" s="13">
        <v>437790.2</v>
      </c>
      <c r="J79" s="13">
        <v>575901.9</v>
      </c>
      <c r="K79" s="13">
        <v>512408</v>
      </c>
      <c r="L79" s="13">
        <v>625914.9</v>
      </c>
      <c r="M79" s="13">
        <v>751198.4</v>
      </c>
      <c r="N79" s="13">
        <v>718320.4</v>
      </c>
      <c r="O79" s="13">
        <v>667950.5</v>
      </c>
      <c r="P79" s="13">
        <v>752024</v>
      </c>
      <c r="Q79" s="14">
        <v>843345.4</v>
      </c>
      <c r="R79" s="15">
        <v>903675.2</v>
      </c>
      <c r="S79" s="13">
        <v>1118062.6000000001</v>
      </c>
      <c r="T79" s="13">
        <v>1290616.5</v>
      </c>
      <c r="U79" s="13">
        <v>1133857.3</v>
      </c>
      <c r="V79" s="13">
        <v>1069131.7</v>
      </c>
      <c r="W79" s="13">
        <v>1847571.4</v>
      </c>
      <c r="X79" s="13">
        <v>2191098.2000000002</v>
      </c>
      <c r="Y79" s="13">
        <v>1908425.2</v>
      </c>
      <c r="Z79" s="14">
        <v>1818575.9</v>
      </c>
    </row>
    <row r="80" spans="1:26" x14ac:dyDescent="0.2">
      <c r="A80" s="30" t="s">
        <v>83</v>
      </c>
      <c r="B80" s="13">
        <v>72012.7</v>
      </c>
      <c r="C80" s="13">
        <v>95298.9</v>
      </c>
      <c r="D80" s="13">
        <v>123084.5</v>
      </c>
      <c r="E80" s="13">
        <v>153798.9</v>
      </c>
      <c r="F80" s="13">
        <v>191826.7</v>
      </c>
      <c r="G80" s="13">
        <v>235381.8</v>
      </c>
      <c r="H80" s="13">
        <v>296064.5</v>
      </c>
      <c r="I80" s="13">
        <v>365531.2</v>
      </c>
      <c r="J80" s="13">
        <v>453574.6</v>
      </c>
      <c r="K80" s="13">
        <v>425400.2</v>
      </c>
      <c r="L80" s="13">
        <v>484141.3</v>
      </c>
      <c r="M80" s="13">
        <v>598563.5</v>
      </c>
      <c r="N80" s="13">
        <v>728154</v>
      </c>
      <c r="O80" s="13">
        <v>817516.7</v>
      </c>
      <c r="P80" s="13">
        <v>911219</v>
      </c>
      <c r="Q80" s="14">
        <v>1021642.9</v>
      </c>
      <c r="R80" s="15">
        <v>1076906.1000000001</v>
      </c>
      <c r="S80" s="13">
        <v>1236151.7</v>
      </c>
      <c r="T80" s="13">
        <v>1367939.9</v>
      </c>
      <c r="U80" s="13">
        <v>1404861.4</v>
      </c>
      <c r="V80" s="13">
        <v>1437375.5</v>
      </c>
      <c r="W80" s="13">
        <v>1710581.4</v>
      </c>
      <c r="X80" s="13">
        <v>1996727.3</v>
      </c>
      <c r="Y80" s="13">
        <v>2312280</v>
      </c>
      <c r="Z80" s="14">
        <v>2695653.5</v>
      </c>
    </row>
    <row r="81" spans="1:26" x14ac:dyDescent="0.2">
      <c r="A81" s="30" t="s">
        <v>84</v>
      </c>
      <c r="B81" s="13">
        <v>46028.4</v>
      </c>
      <c r="C81" s="13">
        <v>61535.7</v>
      </c>
      <c r="D81" s="13">
        <v>92628.7</v>
      </c>
      <c r="E81" s="13">
        <v>115029.5</v>
      </c>
      <c r="F81" s="13">
        <v>192877.3</v>
      </c>
      <c r="G81" s="13">
        <v>220686.1</v>
      </c>
      <c r="H81" s="13">
        <v>262506.7</v>
      </c>
      <c r="I81" s="13">
        <v>296004.7</v>
      </c>
      <c r="J81" s="13">
        <v>347760.3</v>
      </c>
      <c r="K81" s="13">
        <v>336259.6</v>
      </c>
      <c r="L81" s="13">
        <v>382620.4</v>
      </c>
      <c r="M81" s="13">
        <v>451418.8</v>
      </c>
      <c r="N81" s="13">
        <v>491507.6</v>
      </c>
      <c r="O81" s="13">
        <v>551734</v>
      </c>
      <c r="P81" s="13">
        <v>602605.1</v>
      </c>
      <c r="Q81" s="14">
        <v>618127.69999999995</v>
      </c>
      <c r="R81" s="15">
        <v>669655.1</v>
      </c>
      <c r="S81" s="13">
        <v>721715.7</v>
      </c>
      <c r="T81" s="13">
        <v>760526.9</v>
      </c>
      <c r="U81" s="13">
        <v>796161.7</v>
      </c>
      <c r="V81" s="13">
        <v>795707</v>
      </c>
      <c r="W81" s="13">
        <v>822239.5</v>
      </c>
      <c r="X81" s="13">
        <v>949829.3</v>
      </c>
      <c r="Y81" s="13">
        <v>1231718.3</v>
      </c>
      <c r="Z81" s="14">
        <v>1412594.2</v>
      </c>
    </row>
    <row r="82" spans="1:26" x14ac:dyDescent="0.2">
      <c r="A82" s="30" t="s">
        <v>85</v>
      </c>
      <c r="B82" s="13">
        <v>40539.5</v>
      </c>
      <c r="C82" s="13">
        <v>57041.1</v>
      </c>
      <c r="D82" s="13">
        <v>75547</v>
      </c>
      <c r="E82" s="20">
        <v>97084.3</v>
      </c>
      <c r="F82" s="20">
        <v>132439.29999999999</v>
      </c>
      <c r="G82" s="20">
        <v>159578.5</v>
      </c>
      <c r="H82" s="20">
        <v>188800.7</v>
      </c>
      <c r="I82" s="20">
        <v>214487</v>
      </c>
      <c r="J82" s="20">
        <v>248906.2</v>
      </c>
      <c r="K82" s="20">
        <v>245808.3</v>
      </c>
      <c r="L82" s="20">
        <v>284676.7</v>
      </c>
      <c r="M82" s="20">
        <v>333885.7</v>
      </c>
      <c r="N82" s="20">
        <v>371472.9</v>
      </c>
      <c r="O82" s="20">
        <v>402562.1</v>
      </c>
      <c r="P82" s="20">
        <v>430266.8</v>
      </c>
      <c r="Q82" s="21">
        <v>471456.7</v>
      </c>
      <c r="R82" s="22">
        <v>521132.3</v>
      </c>
      <c r="S82" s="20">
        <v>565442.80000000005</v>
      </c>
      <c r="T82" s="20">
        <v>624998.19999999995</v>
      </c>
      <c r="U82" s="13">
        <v>630914.4</v>
      </c>
      <c r="V82" s="20">
        <v>566364.1</v>
      </c>
      <c r="W82" s="20">
        <v>736499</v>
      </c>
      <c r="X82" s="20">
        <v>823997.9</v>
      </c>
      <c r="Y82" s="20">
        <v>925319.7</v>
      </c>
      <c r="Z82" s="21">
        <v>1096820.7</v>
      </c>
    </row>
    <row r="83" spans="1:26" x14ac:dyDescent="0.2">
      <c r="A83" s="31" t="s">
        <v>86</v>
      </c>
      <c r="B83" s="7">
        <f t="shared" ref="B83:Q83" si="4">SUM(B84:B94)</f>
        <v>360400.60000000003</v>
      </c>
      <c r="C83" s="7">
        <f t="shared" si="4"/>
        <v>456963.99999999994</v>
      </c>
      <c r="D83" s="27">
        <f t="shared" si="4"/>
        <v>553546.20000000007</v>
      </c>
      <c r="E83" s="27">
        <f t="shared" si="4"/>
        <v>666492.79999999993</v>
      </c>
      <c r="F83" s="27">
        <f t="shared" si="4"/>
        <v>803628.70000000007</v>
      </c>
      <c r="G83" s="27">
        <f t="shared" si="4"/>
        <v>970981.7</v>
      </c>
      <c r="H83" s="27">
        <f t="shared" si="4"/>
        <v>1181517.5999999999</v>
      </c>
      <c r="I83" s="27">
        <f t="shared" si="4"/>
        <v>1495391.1</v>
      </c>
      <c r="J83" s="27">
        <f t="shared" si="4"/>
        <v>1799908.4000000001</v>
      </c>
      <c r="K83" s="27">
        <f t="shared" si="4"/>
        <v>2000294.8000000003</v>
      </c>
      <c r="L83" s="27">
        <f t="shared" si="4"/>
        <v>2410988.7000000002</v>
      </c>
      <c r="M83" s="27">
        <f t="shared" si="4"/>
        <v>2890065.3000000003</v>
      </c>
      <c r="N83" s="27">
        <f t="shared" si="4"/>
        <v>3090998.6</v>
      </c>
      <c r="O83" s="27">
        <f t="shared" si="4"/>
        <v>3239564.1</v>
      </c>
      <c r="P83" s="27">
        <f t="shared" si="4"/>
        <v>3634851.4</v>
      </c>
      <c r="Q83" s="7">
        <f t="shared" si="4"/>
        <v>4033862.4999999991</v>
      </c>
      <c r="R83" s="27">
        <v>4489838.8500000006</v>
      </c>
      <c r="S83" s="27">
        <v>4794783.8499999996</v>
      </c>
      <c r="T83" s="27">
        <v>5717028.4000000004</v>
      </c>
      <c r="U83" s="7">
        <v>6092666.2999999998</v>
      </c>
      <c r="V83" s="7">
        <v>6165621.6999999993</v>
      </c>
      <c r="W83" s="27">
        <v>7722491.7999999998</v>
      </c>
      <c r="X83" s="27">
        <v>8946099.5000000019</v>
      </c>
      <c r="Y83" s="27">
        <v>10263769.200000001</v>
      </c>
      <c r="Z83" s="7">
        <v>11769999.1</v>
      </c>
    </row>
    <row r="84" spans="1:26" x14ac:dyDescent="0.2">
      <c r="A84" s="30" t="s">
        <v>87</v>
      </c>
      <c r="B84" s="13">
        <v>21574.5</v>
      </c>
      <c r="C84" s="13">
        <v>30075.1</v>
      </c>
      <c r="D84" s="13">
        <v>37884.5</v>
      </c>
      <c r="E84" s="24">
        <v>52253.7</v>
      </c>
      <c r="F84" s="24">
        <v>63918.5</v>
      </c>
      <c r="G84" s="24">
        <v>74912.899999999994</v>
      </c>
      <c r="H84" s="24">
        <v>91712.4</v>
      </c>
      <c r="I84" s="24">
        <v>107442</v>
      </c>
      <c r="J84" s="24">
        <v>124738.5</v>
      </c>
      <c r="K84" s="24">
        <v>121187.7</v>
      </c>
      <c r="L84" s="24">
        <v>133525.6</v>
      </c>
      <c r="M84" s="24">
        <v>153624.1</v>
      </c>
      <c r="N84" s="24">
        <v>164737.79999999999</v>
      </c>
      <c r="O84" s="24">
        <v>176888.9</v>
      </c>
      <c r="P84" s="24">
        <v>186492.9</v>
      </c>
      <c r="Q84" s="25">
        <v>202823.4</v>
      </c>
      <c r="R84" s="26">
        <v>220942.7</v>
      </c>
      <c r="S84" s="24">
        <v>231823.8</v>
      </c>
      <c r="T84" s="24">
        <v>266338</v>
      </c>
      <c r="U84" s="13">
        <v>293244</v>
      </c>
      <c r="V84" s="24">
        <v>310942.8</v>
      </c>
      <c r="W84" s="24">
        <v>364231.8</v>
      </c>
      <c r="X84" s="24">
        <v>453573.1</v>
      </c>
      <c r="Y84" s="24">
        <v>509952</v>
      </c>
      <c r="Z84" s="25">
        <v>578023.5</v>
      </c>
    </row>
    <row r="85" spans="1:26" x14ac:dyDescent="0.2">
      <c r="A85" s="30" t="s">
        <v>88</v>
      </c>
      <c r="B85" s="13">
        <v>81960.399999999994</v>
      </c>
      <c r="C85" s="13">
        <v>100922.4</v>
      </c>
      <c r="D85" s="13">
        <v>115117.1</v>
      </c>
      <c r="E85" s="13">
        <v>132964.1</v>
      </c>
      <c r="F85" s="13">
        <v>153496.70000000001</v>
      </c>
      <c r="G85" s="13">
        <v>183027</v>
      </c>
      <c r="H85" s="13">
        <v>206845</v>
      </c>
      <c r="I85" s="13">
        <v>242656.5</v>
      </c>
      <c r="J85" s="13">
        <v>309518.3</v>
      </c>
      <c r="K85" s="13">
        <v>328201.7</v>
      </c>
      <c r="L85" s="13">
        <v>386825.1</v>
      </c>
      <c r="M85" s="13">
        <v>486830.9</v>
      </c>
      <c r="N85" s="13">
        <v>541306.80000000005</v>
      </c>
      <c r="O85" s="13">
        <v>570284.70000000007</v>
      </c>
      <c r="P85" s="13">
        <v>658140.4</v>
      </c>
      <c r="Q85" s="14">
        <v>747601.7</v>
      </c>
      <c r="R85" s="15">
        <v>893148.7</v>
      </c>
      <c r="S85" s="13">
        <v>959001.4</v>
      </c>
      <c r="T85" s="13">
        <v>1142492.2</v>
      </c>
      <c r="U85" s="13">
        <v>1246516.3999999999</v>
      </c>
      <c r="V85" s="13">
        <v>1154141.3</v>
      </c>
      <c r="W85" s="13">
        <v>1692494.3</v>
      </c>
      <c r="X85" s="13">
        <v>2026380.8</v>
      </c>
      <c r="Y85" s="13">
        <v>2255314.7999999998</v>
      </c>
      <c r="Z85" s="14">
        <v>2530943.7000000002</v>
      </c>
    </row>
    <row r="86" spans="1:26" x14ac:dyDescent="0.2">
      <c r="A86" s="30" t="s">
        <v>89</v>
      </c>
      <c r="B86" s="13">
        <v>30024.6</v>
      </c>
      <c r="C86" s="13">
        <v>35139.199999999997</v>
      </c>
      <c r="D86" s="13">
        <v>44555.8</v>
      </c>
      <c r="E86" s="13">
        <v>53145.5</v>
      </c>
      <c r="F86" s="13">
        <v>61261.8</v>
      </c>
      <c r="G86" s="13">
        <v>69647.100000000006</v>
      </c>
      <c r="H86" s="13">
        <v>90732.1</v>
      </c>
      <c r="I86" s="13">
        <v>110822.39999999999</v>
      </c>
      <c r="J86" s="13">
        <v>140302</v>
      </c>
      <c r="K86" s="13">
        <v>148587.9</v>
      </c>
      <c r="L86" s="13">
        <v>166742.5</v>
      </c>
      <c r="M86" s="13">
        <v>203869</v>
      </c>
      <c r="N86" s="13">
        <v>223968.8</v>
      </c>
      <c r="O86" s="13">
        <v>229239.4</v>
      </c>
      <c r="P86" s="13">
        <v>234840.8</v>
      </c>
      <c r="Q86" s="14">
        <v>247666.2</v>
      </c>
      <c r="R86" s="15">
        <v>280034.40000000002</v>
      </c>
      <c r="S86" s="13">
        <v>314302.7</v>
      </c>
      <c r="T86" s="13">
        <v>347836.5</v>
      </c>
      <c r="U86" s="13">
        <v>377473.4</v>
      </c>
      <c r="V86" s="13">
        <v>431498.8</v>
      </c>
      <c r="W86" s="13">
        <v>525087.30000000005</v>
      </c>
      <c r="X86" s="13">
        <v>568941.80000000005</v>
      </c>
      <c r="Y86" s="13">
        <v>737648.1</v>
      </c>
      <c r="Z86" s="14">
        <v>909182.1</v>
      </c>
    </row>
    <row r="87" spans="1:26" x14ac:dyDescent="0.2">
      <c r="A87" s="30" t="s">
        <v>90</v>
      </c>
      <c r="B87" s="13">
        <v>18140.7</v>
      </c>
      <c r="C87" s="13">
        <v>23031.7</v>
      </c>
      <c r="D87" s="13">
        <v>25881.9</v>
      </c>
      <c r="E87" s="13">
        <v>29747</v>
      </c>
      <c r="F87" s="13">
        <v>35139.300000000003</v>
      </c>
      <c r="G87" s="13">
        <v>43974.3</v>
      </c>
      <c r="H87" s="13">
        <v>56119.8</v>
      </c>
      <c r="I87" s="13">
        <v>66076.800000000003</v>
      </c>
      <c r="J87" s="13">
        <v>77854.3</v>
      </c>
      <c r="K87" s="13">
        <v>94643.199999999997</v>
      </c>
      <c r="L87" s="13">
        <v>103123.2</v>
      </c>
      <c r="M87" s="13">
        <v>114375.9</v>
      </c>
      <c r="N87" s="13">
        <v>127412.7</v>
      </c>
      <c r="O87" s="13">
        <v>133364</v>
      </c>
      <c r="P87" s="13">
        <v>145761.29999999999</v>
      </c>
      <c r="Q87" s="14">
        <v>175404.79999999999</v>
      </c>
      <c r="R87" s="15">
        <v>224102.5</v>
      </c>
      <c r="S87" s="13">
        <v>233301.2</v>
      </c>
      <c r="T87" s="13">
        <v>269081.90000000002</v>
      </c>
      <c r="U87" s="13">
        <v>284970.2</v>
      </c>
      <c r="V87" s="13">
        <v>302329.3</v>
      </c>
      <c r="W87" s="13">
        <v>356682.8</v>
      </c>
      <c r="X87" s="13">
        <v>361824.6</v>
      </c>
      <c r="Y87" s="13">
        <v>436158.1</v>
      </c>
      <c r="Z87" s="14">
        <v>464950.7</v>
      </c>
    </row>
    <row r="88" spans="1:26" x14ac:dyDescent="0.2">
      <c r="A88" s="30" t="s">
        <v>91</v>
      </c>
      <c r="B88" s="13">
        <v>62088.5</v>
      </c>
      <c r="C88" s="13">
        <v>72826.100000000006</v>
      </c>
      <c r="D88" s="13">
        <v>96832.3</v>
      </c>
      <c r="E88" s="13">
        <v>119333.7</v>
      </c>
      <c r="F88" s="13">
        <v>152301.1</v>
      </c>
      <c r="G88" s="13">
        <v>186623.3</v>
      </c>
      <c r="H88" s="13">
        <v>215934.4</v>
      </c>
      <c r="I88" s="13">
        <v>259041.4</v>
      </c>
      <c r="J88" s="13">
        <v>316581.90000000002</v>
      </c>
      <c r="K88" s="13">
        <v>368996.7</v>
      </c>
      <c r="L88" s="13">
        <v>470679.2</v>
      </c>
      <c r="M88" s="13">
        <v>549722.80000000005</v>
      </c>
      <c r="N88" s="13">
        <v>557489.30000000005</v>
      </c>
      <c r="O88" s="13">
        <v>577473.9</v>
      </c>
      <c r="P88" s="13">
        <v>642423</v>
      </c>
      <c r="Q88" s="14">
        <v>717609.9</v>
      </c>
      <c r="R88" s="15">
        <v>861626.9</v>
      </c>
      <c r="S88" s="13">
        <v>933974.7</v>
      </c>
      <c r="T88" s="13">
        <v>996229.1</v>
      </c>
      <c r="U88" s="13">
        <v>1099572.3</v>
      </c>
      <c r="V88" s="13">
        <v>1137195.8</v>
      </c>
      <c r="W88" s="13">
        <v>1387074.4</v>
      </c>
      <c r="X88" s="13">
        <v>1605772.8</v>
      </c>
      <c r="Y88" s="13">
        <v>1909976.4</v>
      </c>
      <c r="Z88" s="14">
        <v>2135475.7999999998</v>
      </c>
    </row>
    <row r="89" spans="1:26" x14ac:dyDescent="0.2">
      <c r="A89" s="30" t="s">
        <v>92</v>
      </c>
      <c r="B89" s="13">
        <v>64794.8</v>
      </c>
      <c r="C89" s="13">
        <v>79891.5</v>
      </c>
      <c r="D89" s="13">
        <v>101048.6</v>
      </c>
      <c r="E89" s="13">
        <v>116318.1</v>
      </c>
      <c r="F89" s="13">
        <v>133330.5</v>
      </c>
      <c r="G89" s="13">
        <v>161194.4</v>
      </c>
      <c r="H89" s="13">
        <v>194259.6</v>
      </c>
      <c r="I89" s="13">
        <v>231293.2</v>
      </c>
      <c r="J89" s="13">
        <v>269178.59999999998</v>
      </c>
      <c r="K89" s="13">
        <v>276895.40000000002</v>
      </c>
      <c r="L89" s="13">
        <v>353590.3</v>
      </c>
      <c r="M89" s="13">
        <v>399594.2</v>
      </c>
      <c r="N89" s="13">
        <v>437994.3</v>
      </c>
      <c r="O89" s="13">
        <v>498067.20000000001</v>
      </c>
      <c r="P89" s="13">
        <v>539338.4</v>
      </c>
      <c r="Q89" s="14">
        <v>595792.30000000005</v>
      </c>
      <c r="R89" s="15">
        <v>674771.72</v>
      </c>
      <c r="S89" s="13">
        <v>726109.42</v>
      </c>
      <c r="T89" s="13">
        <v>789660.6</v>
      </c>
      <c r="U89" s="13">
        <v>833523.8</v>
      </c>
      <c r="V89" s="13">
        <v>885399.1</v>
      </c>
      <c r="W89" s="13">
        <v>1047370.5</v>
      </c>
      <c r="X89" s="13">
        <v>1090087.6000000001</v>
      </c>
      <c r="Y89" s="13">
        <v>1293496.1000000001</v>
      </c>
      <c r="Z89" s="14">
        <v>1582004.9</v>
      </c>
    </row>
    <row r="90" spans="1:26" x14ac:dyDescent="0.2">
      <c r="A90" s="30" t="s">
        <v>93</v>
      </c>
      <c r="B90" s="13">
        <v>26315.200000000001</v>
      </c>
      <c r="C90" s="13">
        <v>39052.800000000003</v>
      </c>
      <c r="D90" s="13">
        <v>45717.5</v>
      </c>
      <c r="E90" s="13">
        <v>53199.9</v>
      </c>
      <c r="F90" s="13">
        <v>64250.2</v>
      </c>
      <c r="G90" s="13">
        <v>76861.2</v>
      </c>
      <c r="H90" s="13">
        <v>95090.9</v>
      </c>
      <c r="I90" s="13">
        <v>111761.2</v>
      </c>
      <c r="J90" s="13">
        <v>131563.70000000001</v>
      </c>
      <c r="K90" s="13">
        <v>151118.6</v>
      </c>
      <c r="L90" s="13">
        <v>178689.6</v>
      </c>
      <c r="M90" s="13">
        <v>225401.7</v>
      </c>
      <c r="N90" s="13">
        <v>229407.1</v>
      </c>
      <c r="O90" s="13">
        <v>210700.9</v>
      </c>
      <c r="P90" s="13">
        <v>232053</v>
      </c>
      <c r="Q90" s="14">
        <v>277380.40000000002</v>
      </c>
      <c r="R90" s="15">
        <v>297803.59999999998</v>
      </c>
      <c r="S90" s="13">
        <v>307934</v>
      </c>
      <c r="T90" s="13">
        <v>343464</v>
      </c>
      <c r="U90" s="13">
        <v>405143.6</v>
      </c>
      <c r="V90" s="13">
        <v>459791.1</v>
      </c>
      <c r="W90" s="13">
        <v>558203.30000000005</v>
      </c>
      <c r="X90" s="13">
        <v>612941.4</v>
      </c>
      <c r="Y90" s="13">
        <v>809227.9</v>
      </c>
      <c r="Z90" s="14">
        <v>1026395.9</v>
      </c>
    </row>
    <row r="91" spans="1:26" x14ac:dyDescent="0.2">
      <c r="A91" s="30" t="s">
        <v>94</v>
      </c>
      <c r="B91" s="13">
        <v>13009.5</v>
      </c>
      <c r="C91" s="13">
        <v>17151.599999999999</v>
      </c>
      <c r="D91" s="13">
        <v>22374.799999999999</v>
      </c>
      <c r="E91" s="13">
        <v>24325.9</v>
      </c>
      <c r="F91" s="13">
        <v>24612.3</v>
      </c>
      <c r="G91" s="13">
        <v>27167.8</v>
      </c>
      <c r="H91" s="13">
        <v>31203.200000000001</v>
      </c>
      <c r="I91" s="13">
        <v>35314.400000000001</v>
      </c>
      <c r="J91" s="13">
        <v>42053.8</v>
      </c>
      <c r="K91" s="13">
        <v>47895.9</v>
      </c>
      <c r="L91" s="13">
        <v>59619.7</v>
      </c>
      <c r="M91" s="13">
        <v>72174.2</v>
      </c>
      <c r="N91" s="13">
        <v>78417.899999999994</v>
      </c>
      <c r="O91" s="13">
        <v>88905.9</v>
      </c>
      <c r="P91" s="13">
        <v>96936.8</v>
      </c>
      <c r="Q91" s="14">
        <v>125798.3</v>
      </c>
      <c r="R91" s="15">
        <v>153884.6</v>
      </c>
      <c r="S91" s="13">
        <v>165264.20000000001</v>
      </c>
      <c r="T91" s="13">
        <v>179811</v>
      </c>
      <c r="U91" s="13">
        <v>217484.79999999999</v>
      </c>
      <c r="V91" s="13">
        <v>288184.8</v>
      </c>
      <c r="W91" s="13">
        <v>323038.2</v>
      </c>
      <c r="X91" s="13">
        <v>317436.90000000002</v>
      </c>
      <c r="Y91" s="13">
        <v>408460.9</v>
      </c>
      <c r="Z91" s="14">
        <v>527333</v>
      </c>
    </row>
    <row r="92" spans="1:26" x14ac:dyDescent="0.2">
      <c r="A92" s="30" t="s">
        <v>95</v>
      </c>
      <c r="B92" s="13">
        <v>34777</v>
      </c>
      <c r="C92" s="13">
        <v>47140.1</v>
      </c>
      <c r="D92" s="13">
        <v>47139.8</v>
      </c>
      <c r="E92" s="13">
        <v>63139.199999999997</v>
      </c>
      <c r="F92" s="13">
        <v>91729.600000000006</v>
      </c>
      <c r="G92" s="13">
        <v>121014.1</v>
      </c>
      <c r="H92" s="13">
        <v>166105.4</v>
      </c>
      <c r="I92" s="13">
        <v>286273</v>
      </c>
      <c r="J92" s="13">
        <v>333581.59999999998</v>
      </c>
      <c r="K92" s="13">
        <v>392380.1</v>
      </c>
      <c r="L92" s="13">
        <v>487659.5</v>
      </c>
      <c r="M92" s="13">
        <v>600247.9</v>
      </c>
      <c r="N92" s="13">
        <v>641886.4</v>
      </c>
      <c r="O92" s="13">
        <v>671743.6</v>
      </c>
      <c r="P92" s="13">
        <v>799165.4</v>
      </c>
      <c r="Q92" s="14">
        <v>837495.2</v>
      </c>
      <c r="R92" s="15">
        <v>762786.4</v>
      </c>
      <c r="S92" s="13">
        <v>793024.9</v>
      </c>
      <c r="T92" s="13">
        <v>1242255.1000000001</v>
      </c>
      <c r="U92" s="13">
        <v>1181158.7</v>
      </c>
      <c r="V92" s="13">
        <v>1011234.1</v>
      </c>
      <c r="W92" s="13">
        <v>1247459.8</v>
      </c>
      <c r="X92" s="13">
        <v>1681664.9</v>
      </c>
      <c r="Y92" s="13">
        <v>1610227.3</v>
      </c>
      <c r="Z92" s="14">
        <v>1677466.6</v>
      </c>
    </row>
    <row r="93" spans="1:26" x14ac:dyDescent="0.2">
      <c r="A93" s="30" t="s">
        <v>96</v>
      </c>
      <c r="B93" s="13">
        <v>3784</v>
      </c>
      <c r="C93" s="13">
        <v>4788.8999999999996</v>
      </c>
      <c r="D93" s="13">
        <v>6838.5</v>
      </c>
      <c r="E93" s="13">
        <v>8564.6</v>
      </c>
      <c r="F93" s="13">
        <v>11230.9</v>
      </c>
      <c r="G93" s="13">
        <v>14204.2</v>
      </c>
      <c r="H93" s="13">
        <v>17976.8</v>
      </c>
      <c r="I93" s="13">
        <v>23726.1</v>
      </c>
      <c r="J93" s="13">
        <v>23977</v>
      </c>
      <c r="K93" s="13">
        <v>25320</v>
      </c>
      <c r="L93" s="13">
        <v>31555.9</v>
      </c>
      <c r="M93" s="13">
        <v>39467</v>
      </c>
      <c r="N93" s="13">
        <v>42743.6</v>
      </c>
      <c r="O93" s="13">
        <v>38428.699999999997</v>
      </c>
      <c r="P93" s="13">
        <v>41948.1</v>
      </c>
      <c r="Q93" s="14">
        <v>44554.8</v>
      </c>
      <c r="R93" s="15">
        <v>48563.199999999997</v>
      </c>
      <c r="S93" s="13">
        <v>56309.1</v>
      </c>
      <c r="T93" s="13">
        <v>55628.6</v>
      </c>
      <c r="U93" s="13">
        <v>57847.199999999997</v>
      </c>
      <c r="V93" s="13">
        <v>64217.2</v>
      </c>
      <c r="W93" s="13">
        <v>80120.5</v>
      </c>
      <c r="X93" s="13">
        <v>81843.600000000006</v>
      </c>
      <c r="Y93" s="13">
        <v>105705.2</v>
      </c>
      <c r="Z93" s="14">
        <v>114125.3</v>
      </c>
    </row>
    <row r="94" spans="1:26" x14ac:dyDescent="0.2">
      <c r="A94" s="30" t="s">
        <v>97</v>
      </c>
      <c r="B94" s="16">
        <v>3931.4</v>
      </c>
      <c r="C94" s="16">
        <v>6944.6</v>
      </c>
      <c r="D94" s="16">
        <v>10155.4</v>
      </c>
      <c r="E94" s="16">
        <v>13501.1</v>
      </c>
      <c r="F94" s="16">
        <v>12357.8</v>
      </c>
      <c r="G94" s="16">
        <v>12355.4</v>
      </c>
      <c r="H94" s="16">
        <v>15538</v>
      </c>
      <c r="I94" s="16">
        <v>20984.1</v>
      </c>
      <c r="J94" s="16">
        <v>30558.7</v>
      </c>
      <c r="K94" s="16">
        <v>45067.6</v>
      </c>
      <c r="L94" s="16">
        <v>38978.1</v>
      </c>
      <c r="M94" s="16">
        <v>44757.599999999999</v>
      </c>
      <c r="N94" s="16">
        <v>45633.9</v>
      </c>
      <c r="O94" s="16">
        <v>44466.9</v>
      </c>
      <c r="P94" s="16">
        <v>57751.3</v>
      </c>
      <c r="Q94" s="17">
        <v>61735.5</v>
      </c>
      <c r="R94" s="18">
        <v>72174.13</v>
      </c>
      <c r="S94" s="16">
        <v>73738.429999999993</v>
      </c>
      <c r="T94" s="16">
        <v>84231.4</v>
      </c>
      <c r="U94" s="16">
        <v>95731.9</v>
      </c>
      <c r="V94" s="16">
        <v>120687.4</v>
      </c>
      <c r="W94" s="16">
        <v>140728.9</v>
      </c>
      <c r="X94" s="16">
        <v>145632</v>
      </c>
      <c r="Y94" s="16">
        <v>187602.4</v>
      </c>
      <c r="Z94" s="17">
        <v>224097.6</v>
      </c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mergeCells count="2">
    <mergeCell ref="A1:C1"/>
    <mergeCell ref="N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Коркина Елизавета Алексеевна</dc:creator>
  <cp:lastModifiedBy>Коркина Елизавета Алексеевна</cp:lastModifiedBy>
  <dcterms:created xsi:type="dcterms:W3CDTF">2026-06-02T15:25:49Z</dcterms:created>
  <dcterms:modified xsi:type="dcterms:W3CDTF">2026-06-03T13:23:20Z</dcterms:modified>
</cp:coreProperties>
</file>